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771" windowHeight="8280" activeTab="1"/>
  </bookViews>
  <sheets>
    <sheet name="Dashboard" sheetId="29" r:id="rId1"/>
    <sheet name="Financial Analysis" sheetId="27" r:id="rId2"/>
    <sheet name="P&amp;L" sheetId="15" r:id="rId3"/>
    <sheet name="BS" sheetId="19" r:id="rId4"/>
    <sheet name="Cash Flow Statement" sheetId="26" r:id="rId5"/>
    <sheet name="PP&amp;E" sheetId="20" r:id="rId6"/>
    <sheet name="Financial Liabilities" sheetId="22" r:id="rId7"/>
    <sheet name="Equity" sheetId="24" r:id="rId8"/>
    <sheet name="Cash" sheetId="25" r:id="rId9"/>
    <sheet name="Workings" sheetId="11" r:id="rId10"/>
    <sheet name="Original Source" sheetId="7" r:id="rId11"/>
    <sheet name="BS 2014" sheetId="16" r:id="rId12"/>
    <sheet name="BS 2015" sheetId="17" r:id="rId13"/>
    <sheet name="BS 2016" sheetId="18" r:id="rId14"/>
    <sheet name="Notes" sheetId="28" r:id="rId15"/>
  </sheets>
  <definedNames>
    <definedName name="_xlnm._FilterDatabase" localSheetId="9" hidden="1">Workings!$B$3:$F$438</definedName>
    <definedName name="_xlnm._FilterDatabase" localSheetId="10" hidden="1">'Original Source'!#REF!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<sst xmlns="http://schemas.openxmlformats.org/spreadsheetml/2006/main" count="2148" uniqueCount="211">
  <si>
    <t>Financial Model Dashboard</t>
  </si>
  <si>
    <t>Historical Performance &amp; 5-Year Forecast</t>
  </si>
  <si>
    <t>Forecast - 2021</t>
  </si>
  <si>
    <t>Revenue</t>
  </si>
  <si>
    <t>EBITDA</t>
  </si>
  <si>
    <t>Net Income</t>
  </si>
  <si>
    <t>FCF</t>
  </si>
  <si>
    <t>Forecast</t>
  </si>
  <si>
    <t>Free Cash Flow</t>
  </si>
  <si>
    <t>Financial Analysis</t>
  </si>
  <si>
    <t>Growth Analysis</t>
  </si>
  <si>
    <t xml:space="preserve">Revenue </t>
  </si>
  <si>
    <t>Profitability Analysis</t>
  </si>
  <si>
    <t xml:space="preserve">Gross Margin </t>
  </si>
  <si>
    <t xml:space="preserve">EBITDA Margin </t>
  </si>
  <si>
    <t xml:space="preserve">EBIT Margin </t>
  </si>
  <si>
    <t xml:space="preserve">Net Profit Margin </t>
  </si>
  <si>
    <t>Liquidity Analysis</t>
  </si>
  <si>
    <t>Current Ratio</t>
  </si>
  <si>
    <t>Debt/Equity</t>
  </si>
  <si>
    <t>Interest Coverage</t>
  </si>
  <si>
    <t>Efficiency Analysis</t>
  </si>
  <si>
    <t>DSO</t>
  </si>
  <si>
    <t>DIO</t>
  </si>
  <si>
    <t>DPO</t>
  </si>
  <si>
    <t>Asset Turnover</t>
  </si>
  <si>
    <t>Cash Conversion cycle</t>
  </si>
  <si>
    <t>P&amp;L</t>
  </si>
  <si>
    <t>Scenario</t>
  </si>
  <si>
    <t>Best case</t>
  </si>
  <si>
    <t>$ in million</t>
  </si>
  <si>
    <t>Var %
14-15</t>
  </si>
  <si>
    <t>Var %
15-16</t>
  </si>
  <si>
    <t>Cost of goods sold</t>
  </si>
  <si>
    <t>Gross Profit</t>
  </si>
  <si>
    <t>Operating expenses</t>
  </si>
  <si>
    <t>D&amp;A</t>
  </si>
  <si>
    <t>EBIT</t>
  </si>
  <si>
    <t>Interest expenses</t>
  </si>
  <si>
    <t>EBT</t>
  </si>
  <si>
    <t>Taxes</t>
  </si>
  <si>
    <t>Scenarios</t>
  </si>
  <si>
    <t>Revenue % growth</t>
  </si>
  <si>
    <t>Base Case</t>
  </si>
  <si>
    <t>Worst Case</t>
  </si>
  <si>
    <t>Cogs as % of Revenue</t>
  </si>
  <si>
    <t>Opex as % of Revenue</t>
  </si>
  <si>
    <t>Balance Sheet</t>
  </si>
  <si>
    <t>Trade Receivables</t>
  </si>
  <si>
    <t>Inventory</t>
  </si>
  <si>
    <t>PP&amp;E</t>
  </si>
  <si>
    <t>Cash</t>
  </si>
  <si>
    <t>Other assets</t>
  </si>
  <si>
    <t>Assets</t>
  </si>
  <si>
    <t>Trade Payables</t>
  </si>
  <si>
    <t>Provisions</t>
  </si>
  <si>
    <t>Financial Liabilities</t>
  </si>
  <si>
    <t>Other liabilities</t>
  </si>
  <si>
    <t>Equity</t>
  </si>
  <si>
    <t>Liabilities and Equity</t>
  </si>
  <si>
    <t>Other Assets %</t>
  </si>
  <si>
    <t>Other liabilities %</t>
  </si>
  <si>
    <t>check</t>
  </si>
  <si>
    <t>Cash Flow Statement</t>
  </si>
  <si>
    <t>FY</t>
  </si>
  <si>
    <t>Intrest Expenses</t>
  </si>
  <si>
    <t>Changes in Inventory</t>
  </si>
  <si>
    <t>Changes in Accounts Receivable</t>
  </si>
  <si>
    <t>Changes in Accounts Payable</t>
  </si>
  <si>
    <t>Changes in provisions</t>
  </si>
  <si>
    <t>Changes in Other Liabilties</t>
  </si>
  <si>
    <t>Changes in Other Assests</t>
  </si>
  <si>
    <t>Cash Flow from Operating Activities</t>
  </si>
  <si>
    <t>CAPEX</t>
  </si>
  <si>
    <t>Cash Flow from Investing Activities</t>
  </si>
  <si>
    <t>Borrowings</t>
  </si>
  <si>
    <t>Changes in Equity and Dividends</t>
  </si>
  <si>
    <t>Cash Flow from Financing Activities</t>
  </si>
  <si>
    <t>Net Cash Flow</t>
  </si>
  <si>
    <t>Cash at the beginning of the year</t>
  </si>
  <si>
    <t>Cash at the end of the year</t>
  </si>
  <si>
    <t>Fixed Assest Roll Forward</t>
  </si>
  <si>
    <t>Beginning PP&amp;E</t>
  </si>
  <si>
    <t>Capex</t>
  </si>
  <si>
    <t>Ending PP&amp;E</t>
  </si>
  <si>
    <t>D&amp;A as % of Beggining PP&amp;E</t>
  </si>
  <si>
    <t>Capex as % of Beggining PP&amp;E</t>
  </si>
  <si>
    <t>Beginning Debt</t>
  </si>
  <si>
    <t>New Debt</t>
  </si>
  <si>
    <t>Principal Repayments</t>
  </si>
  <si>
    <t>Ending Debt</t>
  </si>
  <si>
    <t>Debt to be paid in years</t>
  </si>
  <si>
    <t>Intrest rate</t>
  </si>
  <si>
    <t>Annual repayment</t>
  </si>
  <si>
    <t>Period</t>
  </si>
  <si>
    <t>Intrest Expense</t>
  </si>
  <si>
    <t>Debt Repayment</t>
  </si>
  <si>
    <t>Residual Debt</t>
  </si>
  <si>
    <t>Equity Schedule</t>
  </si>
  <si>
    <t>Beginning Equity</t>
  </si>
  <si>
    <t>Increase of capital</t>
  </si>
  <si>
    <t>Net Income (loss)</t>
  </si>
  <si>
    <t>Dividends</t>
  </si>
  <si>
    <t>Ending equity</t>
  </si>
  <si>
    <t>Dividends as a % of Net Income</t>
  </si>
  <si>
    <t>Cash Flow Schedule</t>
  </si>
  <si>
    <t>Changes in Trade Receivables</t>
  </si>
  <si>
    <t>Changes in Trade payables</t>
  </si>
  <si>
    <t>Changes in Other Assets</t>
  </si>
  <si>
    <t>Changes in Other liabilities</t>
  </si>
  <si>
    <t>Net Operating Cash Flow</t>
  </si>
  <si>
    <t>Change in Financial Liabilities</t>
  </si>
  <si>
    <t>Change in Provisions</t>
  </si>
  <si>
    <t>Change in equity</t>
  </si>
  <si>
    <t>Net Cash flow</t>
  </si>
  <si>
    <t>Date</t>
  </si>
  <si>
    <t>Year</t>
  </si>
  <si>
    <t>Financials</t>
  </si>
  <si>
    <t>Amount</t>
  </si>
  <si>
    <t>Mapping</t>
  </si>
  <si>
    <t>Revenue - Supermarkets</t>
  </si>
  <si>
    <t>Cogs - Supermarkets</t>
  </si>
  <si>
    <t>Revenue - Discounters</t>
  </si>
  <si>
    <t>Cogs - Discounters</t>
  </si>
  <si>
    <t>Revenue - Grocery</t>
  </si>
  <si>
    <t>Cogs - Grocery</t>
  </si>
  <si>
    <t>Revenue - Retail</t>
  </si>
  <si>
    <t>Cogs - Retail</t>
  </si>
  <si>
    <t>Other revenue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</si>
  <si>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</si>
  <si>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</si>
  <si>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</si>
  <si>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</si>
  <si>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</si>
  <si>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</si>
  <si>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</si>
  <si>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</si>
  <si>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</si>
  <si>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</si>
  <si>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</si>
  <si>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</si>
  <si>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</si>
  <si>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</si>
  <si>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</si>
  <si>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</si>
  <si>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</si>
  <si>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</si>
  <si>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</si>
  <si>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</si>
  <si>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</si>
  <si>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</si>
  <si>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</si>
  <si>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</si>
  <si>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</si>
  <si>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</si>
  <si>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</si>
  <si>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</si>
  <si>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</si>
  <si>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</si>
  <si>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</si>
  <si>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</si>
  <si>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</si>
  <si>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</si>
  <si>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</si>
  <si>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</si>
  <si>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</si>
  <si>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</si>
  <si>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</si>
  <si>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</si>
  <si>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</si>
  <si>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</si>
  <si>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Inventory - Discounters</t>
  </si>
  <si>
    <t>Inventory - Supermarkets</t>
  </si>
  <si>
    <t>Inventory - Grocery</t>
  </si>
  <si>
    <t>Inventory - Retail</t>
  </si>
  <si>
    <t>Inventory - Other</t>
  </si>
  <si>
    <t>PP&amp;E - Machinery</t>
  </si>
  <si>
    <t>PP&amp;E - Other</t>
  </si>
  <si>
    <t>PP&amp;E - IT</t>
  </si>
  <si>
    <t>PP&amp;E - Vehicles</t>
  </si>
  <si>
    <t>Cash - Bank Accounts</t>
  </si>
  <si>
    <t>Cash - T-bills</t>
  </si>
  <si>
    <t>Cash - Cash at hand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</si>
  <si>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</si>
  <si>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</si>
  <si>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</si>
  <si>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</si>
  <si>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</si>
  <si>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Provisions - Taxes</t>
  </si>
  <si>
    <t>Provisions - Legal</t>
  </si>
  <si>
    <t>Provisions - Other</t>
  </si>
  <si>
    <t>Financial Liabilities vs. Banks</t>
  </si>
  <si>
    <t>Retained Earnings</t>
  </si>
  <si>
    <t>Minority interest</t>
  </si>
  <si>
    <t>Share Capital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</si>
  <si>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</si>
  <si>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</si>
  <si>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</si>
  <si>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</si>
  <si>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</si>
  <si>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</si>
  <si>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</si>
  <si>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</si>
  <si>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</si>
  <si>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</si>
  <si>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</si>
  <si>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</si>
  <si>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</si>
  <si>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It tells you how quickly the company collects money from customers.</t>
  </si>
  <si>
    <t>It tells you how many days inventory remains before being sold.</t>
  </si>
  <si>
    <t>It tells you how long the company takes to pay suppliers.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</si>
</sst>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#,##0.0_);\(#,##0.0\)"/>
    <numFmt numFmtId="178" formatCode="_(* #,##0.0_);_(* \(#,##0.0\);_(* &quot;-&quot;??_);_(@_)"/>
    <numFmt numFmtId="179" formatCode="0.0"/>
    <numFmt numFmtId="180" formatCode="0.0_ "/>
    <numFmt numFmtId="181" formatCode="0.0%"/>
    <numFmt numFmtId="182" formatCode="0.00_ "/>
    <numFmt numFmtId="183" formatCode="0_ "/>
    <numFmt numFmtId="184" formatCode="0.00&quot;x&quot;"/>
  </numFmts>
  <fonts count="35">
    <font>
      <sz val="11"/>
      <color theme="1"/>
      <name val="Calibri"/>
      <charset val="204"/>
      <scheme val="minor"/>
    </font>
    <font>
      <sz val="9"/>
      <color theme="1"/>
      <name val="Arial"/>
      <charset val="204"/>
    </font>
    <font>
      <b/>
      <sz val="9"/>
      <color rgb="FF002060"/>
      <name val="Arial"/>
      <charset val="204"/>
    </font>
    <font>
      <b/>
      <sz val="9"/>
      <color theme="1"/>
      <name val="Arial"/>
      <charset val="204"/>
    </font>
    <font>
      <b/>
      <sz val="14"/>
      <color rgb="FF002060"/>
      <name val="Arial"/>
      <charset val="204"/>
    </font>
    <font>
      <b/>
      <sz val="9"/>
      <color theme="0"/>
      <name val="Arial"/>
      <charset val="204"/>
    </font>
    <font>
      <sz val="10"/>
      <color theme="1"/>
      <name val="Arial"/>
      <charset val="204"/>
    </font>
    <font>
      <b/>
      <sz val="11"/>
      <color theme="0"/>
      <name val="Calibri"/>
      <charset val="204"/>
      <scheme val="minor"/>
    </font>
    <font>
      <b/>
      <sz val="11"/>
      <color rgb="FF002060"/>
      <name val="Calibri"/>
      <charset val="204"/>
      <scheme val="minor"/>
    </font>
    <font>
      <b/>
      <sz val="10"/>
      <color theme="1"/>
      <name val="Arial"/>
      <charset val="204"/>
    </font>
    <font>
      <b/>
      <sz val="10"/>
      <color rgb="FF002060"/>
      <name val="Arial"/>
      <charset val="204"/>
    </font>
    <font>
      <b/>
      <sz val="12"/>
      <color rgb="FF002060"/>
      <name val="Arial"/>
      <charset val="204"/>
    </font>
    <font>
      <sz val="9"/>
      <color rgb="FF00B0F0"/>
      <name val="Arial"/>
      <charset val="204"/>
    </font>
    <font>
      <sz val="11"/>
      <color rgb="FF00B0F0"/>
      <name val="Calibri"/>
      <charset val="204"/>
      <scheme val="minor"/>
    </font>
    <font>
      <sz val="11"/>
      <color rgb="FF00206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lightGray">
        <bgColor theme="0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lightTrellis">
        <bgColor theme="0" tint="-0.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1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9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177" fontId="1" fillId="2" borderId="0"/>
    <xf numFmtId="0" fontId="2" fillId="2" borderId="1">
      <alignment horizontal="right"/>
    </xf>
    <xf numFmtId="177" fontId="3" fillId="2" borderId="2"/>
    <xf numFmtId="177" fontId="3" fillId="2" borderId="3"/>
  </cellStyleXfs>
  <cellXfs count="98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15" fontId="2" fillId="2" borderId="1" xfId="0" applyNumberFormat="1" applyFont="1" applyFill="1" applyBorder="1"/>
    <xf numFmtId="178" fontId="1" fillId="2" borderId="0" xfId="1" applyNumberFormat="1" applyFont="1" applyFill="1"/>
    <xf numFmtId="0" fontId="3" fillId="2" borderId="2" xfId="0" applyFont="1" applyFill="1" applyBorder="1"/>
    <xf numFmtId="178" fontId="3" fillId="2" borderId="2" xfId="1" applyNumberFormat="1" applyFont="1" applyFill="1" applyBorder="1"/>
    <xf numFmtId="179" fontId="1" fillId="2" borderId="0" xfId="0" applyNumberFormat="1" applyFont="1" applyFill="1"/>
    <xf numFmtId="179" fontId="3" fillId="2" borderId="2" xfId="0" applyNumberFormat="1" applyFont="1" applyFill="1" applyBorder="1"/>
    <xf numFmtId="0" fontId="3" fillId="2" borderId="0" xfId="0" applyFont="1" applyFill="1" applyBorder="1"/>
    <xf numFmtId="0" fontId="3" fillId="2" borderId="3" xfId="0" applyFont="1" applyFill="1" applyBorder="1"/>
    <xf numFmtId="179" fontId="3" fillId="2" borderId="3" xfId="0" applyNumberFormat="1" applyFont="1" applyFill="1" applyBorder="1"/>
    <xf numFmtId="0" fontId="3" fillId="2" borderId="1" xfId="0" applyFont="1" applyFill="1" applyBorder="1"/>
    <xf numFmtId="0" fontId="0" fillId="2" borderId="0" xfId="0" applyFill="1"/>
    <xf numFmtId="178" fontId="3" fillId="2" borderId="0" xfId="1" applyNumberFormat="1" applyFont="1" applyFill="1" applyBorder="1"/>
    <xf numFmtId="178" fontId="3" fillId="2" borderId="3" xfId="0" applyNumberFormat="1" applyFont="1" applyFill="1" applyBorder="1"/>
    <xf numFmtId="0" fontId="0" fillId="0" borderId="0" xfId="0" applyAlignment="1">
      <alignment horizontal="righ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left"/>
    </xf>
    <xf numFmtId="58" fontId="0" fillId="0" borderId="0" xfId="0" applyNumberForma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2" fillId="2" borderId="1" xfId="50" applyFill="1" applyAlignment="1">
      <alignment horizontal="left"/>
    </xf>
    <xf numFmtId="0" fontId="2" fillId="2" borderId="1" xfId="50" applyFill="1">
      <alignment horizontal="right"/>
    </xf>
    <xf numFmtId="177" fontId="0" fillId="0" borderId="0" xfId="0" applyNumberFormat="1"/>
    <xf numFmtId="180" fontId="0" fillId="0" borderId="0" xfId="0" applyNumberFormat="1"/>
    <xf numFmtId="177" fontId="3" fillId="2" borderId="2" xfId="51"/>
    <xf numFmtId="177" fontId="3" fillId="2" borderId="3" xfId="52"/>
    <xf numFmtId="0" fontId="6" fillId="2" borderId="0" xfId="0" applyFont="1" applyFill="1"/>
    <xf numFmtId="0" fontId="0" fillId="4" borderId="0" xfId="0" applyFill="1"/>
    <xf numFmtId="177" fontId="0" fillId="2" borderId="0" xfId="0" applyNumberFormat="1" applyFill="1"/>
    <xf numFmtId="0" fontId="0" fillId="5" borderId="0" xfId="0" applyFill="1"/>
    <xf numFmtId="9" fontId="0" fillId="5" borderId="0" xfId="0" applyNumberFormat="1" applyFill="1"/>
    <xf numFmtId="181" fontId="0" fillId="2" borderId="0" xfId="3" applyNumberFormat="1" applyFill="1"/>
    <xf numFmtId="177" fontId="0" fillId="5" borderId="0" xfId="0" applyNumberFormat="1" applyFill="1"/>
    <xf numFmtId="0" fontId="2" fillId="2" borderId="1" xfId="50" applyFill="1" applyAlignment="1">
      <alignment horizontal="right"/>
    </xf>
    <xf numFmtId="0" fontId="0" fillId="2" borderId="0" xfId="0" applyFill="1" applyAlignment="1">
      <alignment horizontal="left"/>
    </xf>
    <xf numFmtId="177" fontId="0" fillId="2" borderId="0" xfId="0" applyNumberFormat="1" applyFill="1" applyAlignment="1">
      <alignment horizontal="right"/>
    </xf>
    <xf numFmtId="181" fontId="0" fillId="5" borderId="0" xfId="3" applyNumberFormat="1" applyFill="1"/>
    <xf numFmtId="0" fontId="6" fillId="6" borderId="0" xfId="0" applyFont="1" applyFill="1"/>
    <xf numFmtId="0" fontId="0" fillId="6" borderId="0" xfId="0" applyFill="1"/>
    <xf numFmtId="177" fontId="0" fillId="6" borderId="0" xfId="0" applyNumberFormat="1" applyFill="1"/>
    <xf numFmtId="0" fontId="7" fillId="3" borderId="0" xfId="0" applyFont="1" applyFill="1"/>
    <xf numFmtId="0" fontId="2" fillId="2" borderId="1" xfId="50" applyFont="1" applyFill="1">
      <alignment horizontal="right"/>
    </xf>
    <xf numFmtId="0" fontId="2" fillId="2" borderId="1" xfId="50" applyFont="1" applyFill="1" applyBorder="1" applyAlignment="1">
      <alignment horizontal="center"/>
    </xf>
    <xf numFmtId="0" fontId="8" fillId="0" borderId="0" xfId="0" applyFont="1"/>
    <xf numFmtId="182" fontId="8" fillId="0" borderId="0" xfId="0" applyNumberFormat="1" applyFont="1"/>
    <xf numFmtId="177" fontId="9" fillId="2" borderId="2" xfId="51" applyFont="1"/>
    <xf numFmtId="177" fontId="10" fillId="2" borderId="3" xfId="52" applyFont="1"/>
    <xf numFmtId="183" fontId="6" fillId="6" borderId="0" xfId="0" applyNumberFormat="1" applyFont="1" applyFill="1"/>
    <xf numFmtId="0" fontId="10" fillId="2" borderId="0" xfId="0" applyFont="1" applyFill="1"/>
    <xf numFmtId="180" fontId="6" fillId="2" borderId="0" xfId="0" applyNumberFormat="1" applyFont="1" applyFill="1"/>
    <xf numFmtId="177" fontId="6" fillId="2" borderId="0" xfId="0" applyNumberFormat="1" applyFont="1" applyFill="1"/>
    <xf numFmtId="0" fontId="10" fillId="2" borderId="3" xfId="0" applyFont="1" applyFill="1" applyBorder="1"/>
    <xf numFmtId="0" fontId="10" fillId="2" borderId="3" xfId="0" applyNumberFormat="1" applyFont="1" applyFill="1" applyBorder="1"/>
    <xf numFmtId="180" fontId="10" fillId="2" borderId="3" xfId="0" applyNumberFormat="1" applyFont="1" applyFill="1" applyBorder="1"/>
    <xf numFmtId="0" fontId="10" fillId="2" borderId="4" xfId="0" applyFont="1" applyFill="1" applyBorder="1"/>
    <xf numFmtId="0" fontId="10" fillId="2" borderId="4" xfId="0" applyNumberFormat="1" applyFont="1" applyFill="1" applyBorder="1"/>
    <xf numFmtId="180" fontId="10" fillId="2" borderId="4" xfId="0" applyNumberFormat="1" applyFont="1" applyFill="1" applyBorder="1"/>
    <xf numFmtId="0" fontId="6" fillId="5" borderId="0" xfId="0" applyFont="1" applyFill="1"/>
    <xf numFmtId="177" fontId="6" fillId="5" borderId="0" xfId="0" applyNumberFormat="1" applyFont="1" applyFill="1"/>
    <xf numFmtId="180" fontId="6" fillId="5" borderId="0" xfId="0" applyNumberFormat="1" applyFont="1" applyFill="1"/>
    <xf numFmtId="181" fontId="6" fillId="5" borderId="0" xfId="3" applyNumberFormat="1" applyFont="1" applyFill="1"/>
    <xf numFmtId="180" fontId="6" fillId="6" borderId="0" xfId="0" applyNumberFormat="1" applyFont="1" applyFill="1"/>
    <xf numFmtId="0" fontId="11" fillId="2" borderId="0" xfId="0" applyFont="1" applyFill="1"/>
    <xf numFmtId="0" fontId="3" fillId="7" borderId="0" xfId="0" applyFont="1" applyFill="1" applyAlignment="1">
      <alignment horizontal="center"/>
    </xf>
    <xf numFmtId="0" fontId="2" fillId="2" borderId="1" xfId="50" applyFill="1" applyAlignment="1">
      <alignment horizontal="right" wrapText="1"/>
    </xf>
    <xf numFmtId="177" fontId="1" fillId="2" borderId="0" xfId="49" applyFill="1"/>
    <xf numFmtId="181" fontId="1" fillId="2" borderId="0" xfId="3" applyNumberFormat="1" applyFont="1" applyFill="1"/>
    <xf numFmtId="177" fontId="3" fillId="2" borderId="2" xfId="51" applyFill="1"/>
    <xf numFmtId="181" fontId="3" fillId="2" borderId="2" xfId="3" applyNumberFormat="1" applyFont="1" applyFill="1" applyBorder="1"/>
    <xf numFmtId="177" fontId="3" fillId="2" borderId="3" xfId="52" applyFill="1"/>
    <xf numFmtId="181" fontId="3" fillId="2" borderId="3" xfId="3" applyNumberFormat="1" applyFont="1" applyFill="1" applyBorder="1"/>
    <xf numFmtId="0" fontId="1" fillId="2" borderId="0" xfId="0" applyFont="1" applyFill="1" applyBorder="1"/>
    <xf numFmtId="0" fontId="3" fillId="5" borderId="0" xfId="0" applyFont="1" applyFill="1" applyBorder="1"/>
    <xf numFmtId="0" fontId="1" fillId="5" borderId="0" xfId="0" applyFont="1" applyFill="1"/>
    <xf numFmtId="0" fontId="1" fillId="8" borderId="0" xfId="0" applyFont="1" applyFill="1"/>
    <xf numFmtId="0" fontId="0" fillId="8" borderId="0" xfId="0" applyFill="1"/>
    <xf numFmtId="9" fontId="12" fillId="5" borderId="0" xfId="3" applyFont="1" applyFill="1"/>
    <xf numFmtId="0" fontId="12" fillId="5" borderId="0" xfId="0" applyFont="1" applyFill="1"/>
    <xf numFmtId="9" fontId="13" fillId="5" borderId="0" xfId="3" applyFont="1" applyFill="1"/>
    <xf numFmtId="9" fontId="1" fillId="5" borderId="0" xfId="3" applyFont="1" applyFill="1"/>
    <xf numFmtId="9" fontId="12" fillId="5" borderId="0" xfId="0" applyNumberFormat="1" applyFont="1" applyFill="1"/>
    <xf numFmtId="0" fontId="2" fillId="2" borderId="1" xfId="50" applyFill="1" applyAlignment="1">
      <alignment horizontal="left"/>
    </xf>
    <xf numFmtId="181" fontId="0" fillId="0" borderId="0" xfId="0" applyNumberFormat="1"/>
    <xf numFmtId="10" fontId="0" fillId="0" borderId="0" xfId="0" applyNumberFormat="1"/>
    <xf numFmtId="184" fontId="0" fillId="0" borderId="0" xfId="0" applyNumberFormat="1"/>
    <xf numFmtId="0" fontId="14" fillId="0" borderId="0" xfId="0" applyFont="1" applyAlignment="1">
      <alignment horizontal="center"/>
    </xf>
    <xf numFmtId="15" fontId="2" fillId="2" borderId="1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General" xfId="49"/>
    <cellStyle name="Header" xfId="50"/>
    <cellStyle name="Subtotal" xfId="51"/>
    <cellStyle name="Total Formatting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&amp; EBITDA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037928519329"/>
          <c:y val="0.153699284009547"/>
          <c:w val="0.832589350838804"/>
          <c:h val="0.581288782816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Revenue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Dashboard!$C$11:$J$11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Dashboard!$C$12:$J$12</c:f>
              <c:numCache>
                <c:formatCode>#,##0.0_);\(#,##0.0\)</c:formatCode>
                <c:ptCount val="8"/>
                <c:pt idx="0">
                  <c:v>2922</c:v>
                </c:pt>
                <c:pt idx="1">
                  <c:v>2984</c:v>
                </c:pt>
                <c:pt idx="2">
                  <c:v>3040</c:v>
                </c:pt>
                <c:pt idx="3">
                  <c:v>3131.2</c:v>
                </c:pt>
                <c:pt idx="4">
                  <c:v>3225.136</c:v>
                </c:pt>
                <c:pt idx="5">
                  <c:v>3321.89008</c:v>
                </c:pt>
                <c:pt idx="6">
                  <c:v>3421.5467824</c:v>
                </c:pt>
                <c:pt idx="7">
                  <c:v>3524.193185872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903006"/>
        <c:axId val="909589466"/>
      </c:barChart>
      <c:lineChart>
        <c:grouping val="standard"/>
        <c:varyColors val="0"/>
        <c:ser>
          <c:idx val="1"/>
          <c:order val="1"/>
          <c:tx>
            <c:strRef>
              <c:f>Dashboard!$B$13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Dashboard!$C$11:$J$11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Dashboard!$C$13:$J$13</c:f>
              <c:numCache>
                <c:formatCode>#,##0.0_);\(#,##0.0\)</c:formatCode>
                <c:ptCount val="8"/>
                <c:pt idx="0">
                  <c:v>308.82</c:v>
                </c:pt>
                <c:pt idx="1">
                  <c:v>355.66</c:v>
                </c:pt>
                <c:pt idx="2">
                  <c:v>604.76</c:v>
                </c:pt>
                <c:pt idx="3">
                  <c:v>626.24</c:v>
                </c:pt>
                <c:pt idx="4">
                  <c:v>645.0272</c:v>
                </c:pt>
                <c:pt idx="5">
                  <c:v>664.378016</c:v>
                </c:pt>
                <c:pt idx="6">
                  <c:v>684.30935648</c:v>
                </c:pt>
                <c:pt idx="7">
                  <c:v>704.8386371744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6903006"/>
        <c:axId val="909589466"/>
      </c:lineChart>
      <c:catAx>
        <c:axId val="7969030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9589466"/>
        <c:crosses val="autoZero"/>
        <c:auto val="1"/>
        <c:lblAlgn val="ctr"/>
        <c:lblOffset val="100"/>
        <c:noMultiLvlLbl val="0"/>
      </c:catAx>
      <c:valAx>
        <c:axId val="909589466"/>
        <c:scaling>
          <c:orientation val="minMax"/>
        </c:scaling>
        <c:delete val="0"/>
        <c:axPos val="l"/>
        <c:numFmt formatCode="#,##0.0_);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903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5480610787652"/>
          <c:y val="0.825963149078727"/>
          <c:w val="0.249148632319016"/>
          <c:h val="0.1539363484087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Free Cash Flow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Dashboard!$C$11:$J$11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Dashboard!$C$14:$J$14</c:f>
              <c:numCache>
                <c:formatCode>General</c:formatCode>
                <c:ptCount val="8"/>
                <c:pt idx="1" c:formatCode="#,##0.0_);\(#,##0.0\)">
                  <c:v>9.88000000000009</c:v>
                </c:pt>
                <c:pt idx="2" c:formatCode="#,##0.0_);\(#,##0.0\)">
                  <c:v>218.18</c:v>
                </c:pt>
                <c:pt idx="3" c:formatCode="#,##0.0_);\(#,##0.0\)">
                  <c:v>366.551977789867</c:v>
                </c:pt>
                <c:pt idx="4" c:formatCode="#,##0.0_);\(#,##0.0\)">
                  <c:v>336.357017591403</c:v>
                </c:pt>
                <c:pt idx="5" c:formatCode="#,##0.0_);\(#,##0.0\)">
                  <c:v>350.357914630126</c:v>
                </c:pt>
                <c:pt idx="6" c:formatCode="#,##0.0_);\(#,##0.0\)">
                  <c:v>364.939281833921</c:v>
                </c:pt>
                <c:pt idx="7" c:formatCode="#,##0.0_);\(#,##0.0\)">
                  <c:v>380.132417669592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43922339"/>
        <c:axId val="66279769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Dashboard!$C$11</c15:sqref>
                        </c15:formulaRef>
                      </c:ext>
                    </c:extLst>
                    <c:strCache>
                      <c:ptCount val="1"/>
                      <c:pt idx="0">
                        <c:v>2014</c:v>
                      </c:pt>
                    </c:strCache>
                  </c:strRef>
                </c:tx>
                <c:spPr>
                  <a:ln w="28575" cap="rnd">
                    <a:gradFill>
                      <a:gsLst>
                        <a:gs pos="100000">
                          <a:schemeClr val="accent2"/>
                        </a:gs>
                        <a:gs pos="0">
                          <a:schemeClr val="accent2">
                            <a:hueOff val="-1670000"/>
                          </a:schemeClr>
                        </a:gs>
                      </a:gsLst>
                      <a:lin ang="0" scaled="0"/>
                    </a:gra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Dashboard!$C$11:$J$11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Dashboard!$D$11:$J$11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4439223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797691"/>
        <c:crosses val="autoZero"/>
        <c:auto val="1"/>
        <c:lblAlgn val="ctr"/>
        <c:lblOffset val="100"/>
        <c:noMultiLvlLbl val="0"/>
      </c:catAx>
      <c:valAx>
        <c:axId val="6627976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9223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17780</xdr:colOff>
      <xdr:row>15</xdr:row>
      <xdr:rowOff>120650</xdr:rowOff>
    </xdr:from>
    <xdr:to>
      <xdr:col>7</xdr:col>
      <xdr:colOff>373380</xdr:colOff>
      <xdr:row>34</xdr:row>
      <xdr:rowOff>105410</xdr:rowOff>
    </xdr:to>
    <xdr:graphicFrame>
      <xdr:nvGraphicFramePr>
        <xdr:cNvPr id="4" name="Chart 3"/>
        <xdr:cNvGraphicFramePr/>
      </xdr:nvGraphicFramePr>
      <xdr:xfrm>
        <a:off x="177800" y="2949575"/>
        <a:ext cx="4677410" cy="345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139065</xdr:colOff>
      <xdr:row>15</xdr:row>
      <xdr:rowOff>95250</xdr:rowOff>
    </xdr:from>
    <xdr:to>
      <xdr:col>16</xdr:col>
      <xdr:colOff>195580</xdr:colOff>
      <xdr:row>34</xdr:row>
      <xdr:rowOff>59690</xdr:rowOff>
    </xdr:to>
    <xdr:graphicFrame>
      <xdr:nvGraphicFramePr>
        <xdr:cNvPr id="7" name="Chart 6"/>
        <xdr:cNvGraphicFramePr/>
      </xdr:nvGraphicFramePr>
      <xdr:xfrm>
        <a:off x="5177155" y="2924175"/>
        <a:ext cx="4826635" cy="343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9"/>
  <sheetViews>
    <sheetView showGridLines="0" zoomScale="66" zoomScaleNormal="66" workbookViewId="0">
      <selection activeCell="T33" sqref="T33"/>
    </sheetView>
  </sheetViews>
  <sheetFormatPr defaultColWidth="8.88888888888889" defaultRowHeight="14.4"/>
  <cols>
    <col min="1" max="1" width="2.33333333333333" customWidth="1"/>
    <col min="2" max="2" width="15.9444444444444" customWidth="1"/>
    <col min="3" max="3" width="9.66666666666667" customWidth="1"/>
    <col min="4" max="4" width="13.0740740740741" customWidth="1"/>
    <col min="5" max="10" width="8.11111111111111" customWidth="1"/>
  </cols>
  <sheetData>
    <row r="2" ht="17.4" spans="2:2">
      <c r="B2" s="23" t="s">
        <v>0</v>
      </c>
    </row>
    <row r="3" ht="17.4" spans="2:2">
      <c r="B3" s="23"/>
    </row>
    <row r="4" spans="2:5">
      <c r="B4" s="90" t="s">
        <v>1</v>
      </c>
      <c r="C4" s="90"/>
      <c r="D4" s="90"/>
      <c r="E4" s="90"/>
    </row>
    <row r="5" spans="2:5">
      <c r="B5" s="24" t="s">
        <v>2</v>
      </c>
      <c r="C5" s="24"/>
      <c r="D5" s="24"/>
      <c r="E5" s="24"/>
    </row>
    <row r="6" ht="15.15" spans="2:5">
      <c r="B6" s="91" t="s">
        <v>3</v>
      </c>
      <c r="C6" s="91" t="s">
        <v>4</v>
      </c>
      <c r="D6" s="91" t="s">
        <v>5</v>
      </c>
      <c r="E6" s="91" t="s">
        <v>6</v>
      </c>
    </row>
    <row r="7" spans="2:5">
      <c r="B7" s="92">
        <f>'P&amp;L'!M5</f>
        <v>3524.193185872</v>
      </c>
      <c r="C7" s="92">
        <f>'P&amp;L'!M9</f>
        <v>704.8386371744</v>
      </c>
      <c r="D7" s="92">
        <f>'P&amp;L'!M15</f>
        <v>402.062604978569</v>
      </c>
      <c r="E7" s="92">
        <f>'Financial Analysis'!J29</f>
        <v>380.132417669592</v>
      </c>
    </row>
    <row r="10" spans="6:10">
      <c r="F10" s="24" t="s">
        <v>7</v>
      </c>
      <c r="G10" s="24"/>
      <c r="H10" s="24"/>
      <c r="I10" s="24"/>
      <c r="J10" s="24"/>
    </row>
    <row r="11" spans="2:10">
      <c r="B11" s="91"/>
      <c r="C11" s="93">
        <f>YEAR(BS!C6)</f>
        <v>2014</v>
      </c>
      <c r="D11" s="93">
        <f>YEAR(BS!D6)</f>
        <v>2015</v>
      </c>
      <c r="E11" s="93">
        <f>YEAR(BS!E6)</f>
        <v>2016</v>
      </c>
      <c r="F11" s="93">
        <f>YEAR(BS!F6)</f>
        <v>2017</v>
      </c>
      <c r="G11" s="93">
        <f>YEAR(BS!G6)</f>
        <v>2018</v>
      </c>
      <c r="H11" s="93">
        <f>YEAR(BS!H6)</f>
        <v>2019</v>
      </c>
      <c r="I11" s="93">
        <f>YEAR(BS!I6)</f>
        <v>2020</v>
      </c>
      <c r="J11" s="93">
        <f>YEAR(BS!J6)</f>
        <v>2021</v>
      </c>
    </row>
    <row r="12" spans="2:10">
      <c r="B12" t="s">
        <v>3</v>
      </c>
      <c r="C12" s="27">
        <f>'P&amp;L'!C5</f>
        <v>2922</v>
      </c>
      <c r="D12" s="27">
        <f>'P&amp;L'!D5</f>
        <v>2984</v>
      </c>
      <c r="E12" s="27">
        <f>'P&amp;L'!E5</f>
        <v>3040</v>
      </c>
      <c r="F12" s="27">
        <f>'P&amp;L'!I5</f>
        <v>3131.2</v>
      </c>
      <c r="G12" s="27">
        <f>'P&amp;L'!J5</f>
        <v>3225.136</v>
      </c>
      <c r="H12" s="27">
        <f>'P&amp;L'!K5</f>
        <v>3321.89008</v>
      </c>
      <c r="I12" s="27">
        <f>'P&amp;L'!L5</f>
        <v>3421.5467824</v>
      </c>
      <c r="J12" s="27">
        <f>'P&amp;L'!M5</f>
        <v>3524.193185872</v>
      </c>
    </row>
    <row r="13" spans="2:10">
      <c r="B13" t="s">
        <v>4</v>
      </c>
      <c r="C13" s="27">
        <f>'P&amp;L'!C9</f>
        <v>308.82</v>
      </c>
      <c r="D13" s="27">
        <f>'P&amp;L'!D9</f>
        <v>355.66</v>
      </c>
      <c r="E13" s="27">
        <f>'P&amp;L'!E9</f>
        <v>604.76</v>
      </c>
      <c r="F13" s="27">
        <f>'P&amp;L'!I9</f>
        <v>626.24</v>
      </c>
      <c r="G13" s="27">
        <f>'P&amp;L'!J9</f>
        <v>645.0272</v>
      </c>
      <c r="H13" s="27">
        <f>'P&amp;L'!K9</f>
        <v>664.378016</v>
      </c>
      <c r="I13" s="27">
        <f>'P&amp;L'!L9</f>
        <v>684.30935648</v>
      </c>
      <c r="J13" s="27">
        <f>'P&amp;L'!M9</f>
        <v>704.8386371744</v>
      </c>
    </row>
    <row r="14" spans="2:10">
      <c r="B14" t="s">
        <v>8</v>
      </c>
      <c r="D14" s="27">
        <f>'Financial Analysis'!D29</f>
        <v>9.88000000000009</v>
      </c>
      <c r="E14" s="27">
        <f>'Financial Analysis'!E29</f>
        <v>218.18</v>
      </c>
      <c r="F14" s="27">
        <f>'Financial Analysis'!F29</f>
        <v>366.551977789867</v>
      </c>
      <c r="G14" s="27">
        <f>'Financial Analysis'!G29</f>
        <v>336.357017591403</v>
      </c>
      <c r="H14" s="27">
        <f>'Financial Analysis'!H29</f>
        <v>350.357914630126</v>
      </c>
      <c r="I14" s="27">
        <f>'Financial Analysis'!I29</f>
        <v>364.939281833921</v>
      </c>
      <c r="J14" s="27">
        <f>'Financial Analysis'!J29</f>
        <v>380.132417669592</v>
      </c>
    </row>
    <row r="15" spans="4:10">
      <c r="D15" s="27"/>
      <c r="E15" s="27"/>
      <c r="F15" s="27"/>
      <c r="G15" s="27"/>
      <c r="H15" s="27"/>
      <c r="I15" s="27"/>
      <c r="J15" s="27"/>
    </row>
    <row r="16" spans="4:10">
      <c r="D16" s="27"/>
      <c r="E16" s="27"/>
      <c r="F16" s="27"/>
      <c r="G16" s="27"/>
      <c r="H16" s="27"/>
      <c r="I16" s="27"/>
      <c r="J16" s="27"/>
    </row>
    <row r="17" spans="4:10">
      <c r="D17" s="27"/>
      <c r="E17" s="27"/>
      <c r="F17" s="27"/>
      <c r="G17" s="27"/>
      <c r="H17" s="27"/>
      <c r="I17" s="27"/>
      <c r="J17" s="27"/>
    </row>
    <row r="18" spans="4:10">
      <c r="D18" s="27"/>
      <c r="E18" s="27"/>
      <c r="F18" s="27"/>
      <c r="G18" s="27"/>
      <c r="H18" s="27"/>
      <c r="I18" s="27"/>
      <c r="J18" s="27"/>
    </row>
    <row r="36" spans="2:5">
      <c r="B36" s="94"/>
      <c r="C36" s="95"/>
      <c r="D36" s="95"/>
      <c r="E36" s="95"/>
    </row>
    <row r="37" spans="2:5">
      <c r="B37" s="96"/>
      <c r="C37" s="97"/>
      <c r="D37" s="97"/>
      <c r="E37" s="97"/>
    </row>
    <row r="38" spans="2:5">
      <c r="B38" s="96"/>
      <c r="C38" s="97"/>
      <c r="D38" s="97"/>
      <c r="E38" s="97"/>
    </row>
    <row r="39" spans="2:5">
      <c r="B39" s="96"/>
      <c r="C39" s="97"/>
      <c r="D39" s="97"/>
      <c r="E39" s="97"/>
    </row>
  </sheetData>
  <mergeCells count="3">
    <mergeCell ref="B4:E4"/>
    <mergeCell ref="B5:E5"/>
    <mergeCell ref="F10:J1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B2:K29"/>
  <sheetViews>
    <sheetView showGridLines="0" tabSelected="1" zoomScale="138" zoomScaleNormal="138" topLeftCell="A19" workbookViewId="0">
      <selection activeCell="B29" sqref="B29"/>
    </sheetView>
  </sheetViews>
  <sheetFormatPr defaultColWidth="8.88888888888889" defaultRowHeight="14.4"/>
  <cols>
    <col min="1" max="1" width="1.77777777777778" customWidth="1"/>
    <col min="2" max="2" width="26.6666666666667" customWidth="1"/>
    <col min="3" max="3" width="8.33333333333333" customWidth="1"/>
    <col min="4" max="5" width="8.66666666666667" customWidth="1"/>
    <col min="6" max="10" width="8.33333333333333" customWidth="1"/>
  </cols>
  <sheetData>
    <row r="2" ht="17.4" spans="2:2">
      <c r="B2" s="23" t="s">
        <v>9</v>
      </c>
    </row>
    <row r="4" spans="2:10">
      <c r="B4" s="86"/>
      <c r="C4" s="26">
        <v>2014</v>
      </c>
      <c r="D4" s="26">
        <v>2015</v>
      </c>
      <c r="E4" s="26">
        <v>2016</v>
      </c>
      <c r="F4" s="26">
        <v>2017</v>
      </c>
      <c r="G4" s="26">
        <v>2018</v>
      </c>
      <c r="H4" s="26">
        <v>2019</v>
      </c>
      <c r="I4" s="26">
        <v>2020</v>
      </c>
      <c r="J4" s="26">
        <v>2021</v>
      </c>
    </row>
    <row r="6" spans="2:2">
      <c r="B6" s="48" t="s">
        <v>10</v>
      </c>
    </row>
    <row r="7" spans="2:10">
      <c r="B7" t="s">
        <v>11</v>
      </c>
      <c r="D7" s="87">
        <f>('P&amp;L'!D5/'P&amp;L'!C5)-1</f>
        <v>0.0212183436002737</v>
      </c>
      <c r="E7" s="87">
        <f>('P&amp;L'!E5/'P&amp;L'!D5)-1</f>
        <v>0.0187667560321716</v>
      </c>
      <c r="F7" s="87">
        <f>'P&amp;L'!I5/'P&amp;L'!E5-1</f>
        <v>0.03</v>
      </c>
      <c r="G7" s="87">
        <f>'P&amp;L'!J5/'P&amp;L'!I5-1</f>
        <v>0.03</v>
      </c>
      <c r="H7" s="87">
        <f>'P&amp;L'!K5/'P&amp;L'!J5-1</f>
        <v>0.03</v>
      </c>
      <c r="I7" s="87">
        <f>'P&amp;L'!L5/'P&amp;L'!K5-1</f>
        <v>0.03</v>
      </c>
      <c r="J7" s="87">
        <f>'P&amp;L'!M5/'P&amp;L'!L5-1</f>
        <v>0.03</v>
      </c>
    </row>
    <row r="8" spans="2:10">
      <c r="B8" t="s">
        <v>4</v>
      </c>
      <c r="D8" s="87">
        <f>'P&amp;L'!D9/'P&amp;L'!C9-1</f>
        <v>0.151674114370831</v>
      </c>
      <c r="E8" s="87">
        <f>'P&amp;L'!E9/'P&amp;L'!D9-1</f>
        <v>0.700388011021762</v>
      </c>
      <c r="F8" s="87">
        <f>'P&amp;L'!I9/'P&amp;L'!E9-1</f>
        <v>0.0355182221046366</v>
      </c>
      <c r="G8" s="87">
        <f>'P&amp;L'!J9/'P&amp;L'!I9-1</f>
        <v>0.03</v>
      </c>
      <c r="H8" s="87">
        <f>'P&amp;L'!K9/'P&amp;L'!J9-1</f>
        <v>0.0300000000000002</v>
      </c>
      <c r="I8" s="87">
        <f>'P&amp;L'!L9/'P&amp;L'!K9-1</f>
        <v>0.03</v>
      </c>
      <c r="J8" s="87">
        <f>'P&amp;L'!M9/'P&amp;L'!L9-1</f>
        <v>0.03</v>
      </c>
    </row>
    <row r="9" spans="2:10">
      <c r="B9" t="s">
        <v>5</v>
      </c>
      <c r="D9" s="87">
        <f>'P&amp;L'!D15/'P&amp;L'!C15-1</f>
        <v>1.56503496503498</v>
      </c>
      <c r="E9" s="87">
        <f>'P&amp;L'!E15/'P&amp;L'!D15-1</f>
        <v>7.26553980370772</v>
      </c>
      <c r="F9" s="87">
        <f>'P&amp;L'!I15/'P&amp;L'!E15-1</f>
        <v>0.130876875084578</v>
      </c>
      <c r="G9" s="87">
        <f>'P&amp;L'!J15/'P&amp;L'!I15-1</f>
        <v>0.0406184848280593</v>
      </c>
      <c r="H9" s="87">
        <f>'P&amp;L'!K15/'P&amp;L'!J15-1</f>
        <v>0.0406106831536628</v>
      </c>
      <c r="I9" s="87">
        <f>'P&amp;L'!L15/'P&amp;L'!K15-1</f>
        <v>0.0406215796610816</v>
      </c>
      <c r="J9" s="87">
        <f>'P&amp;L'!M15/'P&amp;L'!L15-1</f>
        <v>0.0406511441953616</v>
      </c>
    </row>
    <row r="10" spans="4:10">
      <c r="D10" s="88"/>
      <c r="E10" s="88"/>
      <c r="F10" s="88"/>
      <c r="G10" s="88"/>
      <c r="H10" s="88"/>
      <c r="I10" s="88"/>
      <c r="J10" s="88"/>
    </row>
    <row r="11" spans="2:10">
      <c r="B11" s="48" t="s">
        <v>12</v>
      </c>
      <c r="D11" s="88"/>
      <c r="E11" s="88"/>
      <c r="F11" s="88"/>
      <c r="G11" s="88"/>
      <c r="H11" s="88"/>
      <c r="I11" s="88"/>
      <c r="J11" s="88"/>
    </row>
    <row r="12" spans="2:10">
      <c r="B12" t="s">
        <v>13</v>
      </c>
      <c r="C12" s="87">
        <f>'P&amp;L'!C7/'P&amp;L'!C5-1</f>
        <v>-0.479466119096509</v>
      </c>
      <c r="D12" s="87">
        <f>'P&amp;L'!D7/'P&amp;L'!D5-1</f>
        <v>-0.463471849865952</v>
      </c>
      <c r="E12" s="87">
        <f>'P&amp;L'!E7/'P&amp;L'!E5-1</f>
        <v>-0.449671052631579</v>
      </c>
      <c r="F12" s="87">
        <f>'P&amp;L'!I7/'P&amp;L'!I5-1</f>
        <v>-0.45</v>
      </c>
      <c r="G12" s="87">
        <f>'P&amp;L'!J7/'P&amp;L'!J5-1</f>
        <v>-0.45</v>
      </c>
      <c r="H12" s="87">
        <f>'P&amp;L'!K7/'P&amp;L'!K5-1</f>
        <v>-0.45</v>
      </c>
      <c r="I12" s="87">
        <f>'P&amp;L'!L7/'P&amp;L'!L5-1</f>
        <v>-0.45</v>
      </c>
      <c r="J12" s="87">
        <f>'P&amp;L'!M7/'P&amp;L'!M5-1</f>
        <v>-0.45</v>
      </c>
    </row>
    <row r="13" spans="2:10">
      <c r="B13" t="s">
        <v>14</v>
      </c>
      <c r="C13" s="87">
        <f>'P&amp;L'!C9/'P&amp;L'!C5-1</f>
        <v>-0.894312114989733</v>
      </c>
      <c r="D13" s="87">
        <f>'P&amp;L'!D9/'P&amp;L'!D5-1</f>
        <v>-0.880810991957105</v>
      </c>
      <c r="E13" s="87">
        <f>'P&amp;L'!E9/'P&amp;L'!E5-1</f>
        <v>-0.801065789473684</v>
      </c>
      <c r="F13" s="87">
        <f>'P&amp;L'!I9/'P&amp;L'!I5-1</f>
        <v>-0.8</v>
      </c>
      <c r="G13" s="87">
        <f>'P&amp;L'!J9/'P&amp;L'!J5-1</f>
        <v>-0.8</v>
      </c>
      <c r="H13" s="87">
        <f>'P&amp;L'!K9/'P&amp;L'!K5-1</f>
        <v>-0.8</v>
      </c>
      <c r="I13" s="87">
        <f>'P&amp;L'!L9/'P&amp;L'!L5-1</f>
        <v>-0.8</v>
      </c>
      <c r="J13" s="87">
        <f>'P&amp;L'!M9/'P&amp;L'!M5-1</f>
        <v>-0.8</v>
      </c>
    </row>
    <row r="14" spans="2:10">
      <c r="B14" t="s">
        <v>15</v>
      </c>
      <c r="C14" s="87">
        <f>'P&amp;L'!C11/'P&amp;L'!C5-1</f>
        <v>-0.90492128678987</v>
      </c>
      <c r="D14" s="87">
        <f>'P&amp;L'!D11/'P&amp;L'!D5-1</f>
        <v>-0.895556300268097</v>
      </c>
      <c r="E14" s="87">
        <f>'P&amp;L'!E11/'P&amp;L'!E5-1</f>
        <v>-0.814552631578947</v>
      </c>
      <c r="F14" s="87">
        <f>'P&amp;L'!I11/'P&amp;L'!I5-1</f>
        <v>-0.814152474849582</v>
      </c>
      <c r="G14" s="87">
        <f>'P&amp;L'!J11/'P&amp;L'!J5-1</f>
        <v>-0.814033537361879</v>
      </c>
      <c r="H14" s="87">
        <f>'P&amp;L'!K11/'P&amp;L'!K5-1</f>
        <v>-0.813915599425571</v>
      </c>
      <c r="I14" s="87">
        <f>'P&amp;L'!L11/'P&amp;L'!L5-1</f>
        <v>-0.813798652640422</v>
      </c>
      <c r="J14" s="87">
        <f>'P&amp;L'!M11/'P&amp;L'!M5-1</f>
        <v>-0.813682688676791</v>
      </c>
    </row>
    <row r="15" spans="2:10">
      <c r="B15" t="s">
        <v>16</v>
      </c>
      <c r="C15" s="87">
        <f>'P&amp;L'!C15/'P&amp;L'!C5-1</f>
        <v>-0.995106091718001</v>
      </c>
      <c r="D15" s="87">
        <f>'P&amp;L'!D15/'P&amp;L'!D5-1</f>
        <v>-0.987707774798928</v>
      </c>
      <c r="E15" s="87">
        <f>'P&amp;L'!E15/'P&amp;L'!E5-1</f>
        <v>-0.900269736842105</v>
      </c>
      <c r="F15" s="87">
        <f>'P&amp;L'!I15/'P&amp;L'!I5-1</f>
        <v>-0.890502283154017</v>
      </c>
      <c r="G15" s="87">
        <f>'P&amp;L'!J15/'P&amp;L'!J5-1</f>
        <v>-0.889373448353011</v>
      </c>
      <c r="H15" s="87">
        <f>'P&amp;L'!K15/'P&amp;L'!K5-1</f>
        <v>-0.888233814092906</v>
      </c>
      <c r="I15" s="87">
        <f>'P&amp;L'!L15/'P&amp;L'!L5-1</f>
        <v>-0.887081257348219</v>
      </c>
      <c r="J15" s="87">
        <f>'P&amp;L'!M15/'P&amp;L'!M5-1</f>
        <v>-0.885913574037206</v>
      </c>
    </row>
    <row r="16" spans="4:10">
      <c r="D16" s="88"/>
      <c r="E16" s="88"/>
      <c r="F16" s="88"/>
      <c r="G16" s="88"/>
      <c r="H16" s="88"/>
      <c r="I16" s="88"/>
      <c r="J16" s="88"/>
    </row>
    <row r="17" spans="2:10">
      <c r="B17" s="48" t="s">
        <v>17</v>
      </c>
      <c r="D17" s="88"/>
      <c r="E17" s="88"/>
      <c r="F17" s="88"/>
      <c r="G17" s="88"/>
      <c r="H17" s="88"/>
      <c r="I17" s="88"/>
      <c r="J17" s="88"/>
    </row>
    <row r="18" spans="2:10">
      <c r="B18" t="s">
        <v>18</v>
      </c>
      <c r="C18" s="89">
        <f>(BS!C7+BS!C8+BS!C10+BS!C11)/(BS!C14+BS!C15+BS!C17)</f>
        <v>2.01344086021505</v>
      </c>
      <c r="D18" s="89">
        <f>(BS!D7+BS!D8+BS!D10+BS!D11)/(BS!D14+BS!D15+BS!D17)</f>
        <v>2.23917672107878</v>
      </c>
      <c r="E18" s="89">
        <f>(BS!E7+BS!E8+BS!E10+BS!E11)/(BS!E14+BS!E15+BS!E17)</f>
        <v>4.15604395604396</v>
      </c>
      <c r="F18" s="89">
        <f>(BS!F7+BS!F10+BS!F11)/(BS!F14+BS!F15+BS!F16)</f>
        <v>0.948261409249882</v>
      </c>
      <c r="G18" s="89">
        <f>(BS!G7+BS!G10+BS!G11)/(BS!G14+BS!G15+BS!G16)</f>
        <v>1.2631582819547</v>
      </c>
      <c r="H18" s="89">
        <f>(BS!H7+BS!H10+BS!H11)/(BS!H14+BS!H15+BS!H16)</f>
        <v>1.64141727575082</v>
      </c>
      <c r="I18" s="89">
        <f>(BS!I7+BS!I10+BS!I11)/(BS!I14+BS!I15+BS!I16)</f>
        <v>2.10893289348912</v>
      </c>
      <c r="J18" s="89">
        <f>(BS!J7+BS!J10+BS!J11)/(BS!J14+BS!J15+BS!J16)</f>
        <v>2.70809996977706</v>
      </c>
    </row>
    <row r="19" spans="2:11">
      <c r="B19" t="s">
        <v>19</v>
      </c>
      <c r="C19" s="89">
        <f>(BS!C15+BS!C16)/BS!C18</f>
        <v>3.87044776119403</v>
      </c>
      <c r="D19" s="89">
        <f>(BS!D15+BS!D16)/BS!D18</f>
        <v>3.2491103202847</v>
      </c>
      <c r="E19" s="89">
        <f>(BS!E15+BS!E16)/BS!E18</f>
        <v>1.30579023284566</v>
      </c>
      <c r="F19" s="89">
        <f>(BS!F15+BS!F16)/BS!F18</f>
        <v>0.859429060743267</v>
      </c>
      <c r="G19" s="89">
        <f>(BS!G15+BS!G16)/BS!G18</f>
        <v>0.608199890826385</v>
      </c>
      <c r="H19" s="89">
        <f>(BS!H15+BS!H16)/BS!H18</f>
        <v>0.446124401074877</v>
      </c>
      <c r="I19" s="89">
        <f>(BS!I15+BS!I16)/BS!I18</f>
        <v>0.332135041502215</v>
      </c>
      <c r="J19" s="89">
        <f>(BS!J15+BS!J16)/BS!J18</f>
        <v>0.24697422344655</v>
      </c>
      <c r="K19" s="89"/>
    </row>
    <row r="20" spans="2:10">
      <c r="B20" t="s">
        <v>20</v>
      </c>
      <c r="C20" s="89">
        <f>'P&amp;L'!C11/ABS('P&amp;L'!C12)</f>
        <v>4.96107142857143</v>
      </c>
      <c r="D20" s="89">
        <f>'P&amp;L'!D11/ABS('P&amp;L'!D12)</f>
        <v>4.79476923076923</v>
      </c>
      <c r="E20" s="89">
        <f>'P&amp;L'!E11/ABS('P&amp;L'!E12)</f>
        <v>10.8415384615385</v>
      </c>
      <c r="F20" s="89">
        <f>'P&amp;L'!E11/ABS('P&amp;L'!E12)</f>
        <v>10.8415384615385</v>
      </c>
      <c r="G20" s="89">
        <f>'P&amp;L'!I11/ABS('P&amp;L'!I12)</f>
        <v>10.6873419788979</v>
      </c>
      <c r="H20" s="89">
        <f>'P&amp;L'!J11/ABS('P&amp;L'!J12)</f>
        <v>11.791098184835</v>
      </c>
      <c r="I20" s="89">
        <f>'P&amp;L'!K11/ABS('P&amp;L'!K12)</f>
        <v>13.1634721435821</v>
      </c>
      <c r="J20" s="89">
        <f>'P&amp;L'!L11/ABS('P&amp;L'!L12)</f>
        <v>14.9197348977327</v>
      </c>
    </row>
    <row r="21" spans="4:10">
      <c r="D21" s="88"/>
      <c r="E21" s="88"/>
      <c r="F21" s="88"/>
      <c r="G21" s="88"/>
      <c r="H21" s="88"/>
      <c r="I21" s="88"/>
      <c r="J21" s="88"/>
    </row>
    <row r="22" spans="2:10">
      <c r="B22" s="48" t="s">
        <v>21</v>
      </c>
      <c r="D22" s="88"/>
      <c r="E22" s="88"/>
      <c r="F22" s="88"/>
      <c r="G22" s="88"/>
      <c r="H22" s="88"/>
      <c r="I22" s="88"/>
      <c r="J22" s="88"/>
    </row>
    <row r="23" spans="2:10">
      <c r="B23" t="s">
        <v>22</v>
      </c>
      <c r="C23" s="27">
        <f>BS!C21</f>
        <v>17.7289527720739</v>
      </c>
      <c r="D23" s="27">
        <f>BS!D21</f>
        <v>18.6756032171582</v>
      </c>
      <c r="E23" s="27">
        <f>BS!E21</f>
        <v>20.0486842105263</v>
      </c>
      <c r="F23" s="27">
        <f>BS!F21</f>
        <v>18.8177467332528</v>
      </c>
      <c r="G23" s="27">
        <f>BS!G21</f>
        <v>18.8177467332528</v>
      </c>
      <c r="H23" s="27">
        <f>BS!H21</f>
        <v>18.8177467332528</v>
      </c>
      <c r="I23" s="27">
        <f>BS!I21</f>
        <v>18.8177467332528</v>
      </c>
      <c r="J23" s="27">
        <f>BS!J21</f>
        <v>18.8177467332528</v>
      </c>
    </row>
    <row r="24" spans="2:10">
      <c r="B24" t="s">
        <v>23</v>
      </c>
      <c r="C24" s="27">
        <f>BS!C23</f>
        <v>21.8415417558887</v>
      </c>
      <c r="D24" s="27">
        <f>BS!D23</f>
        <v>23.9479392624729</v>
      </c>
      <c r="E24" s="27">
        <f>BS!E23</f>
        <v>28.9685442574982</v>
      </c>
      <c r="F24" s="27">
        <f>BS!F23</f>
        <v>24.9193417586199</v>
      </c>
      <c r="G24" s="27">
        <f>BS!G23</f>
        <v>24.9193417586199</v>
      </c>
      <c r="H24" s="27">
        <f>BS!H23</f>
        <v>24.9193417586199</v>
      </c>
      <c r="I24" s="27">
        <f>BS!I23</f>
        <v>24.9193417586199</v>
      </c>
      <c r="J24" s="27">
        <f>BS!J23</f>
        <v>24.9193417586199</v>
      </c>
    </row>
    <row r="25" spans="2:10">
      <c r="B25" t="s">
        <v>24</v>
      </c>
      <c r="C25" s="27">
        <f>BS!C22</f>
        <v>17.4732334047109</v>
      </c>
      <c r="D25" s="27">
        <f>BS!D22</f>
        <v>17.9349240780911</v>
      </c>
      <c r="E25" s="27">
        <f>BS!E22</f>
        <v>18.1448427212875</v>
      </c>
      <c r="F25" s="27">
        <f>BS!F22</f>
        <v>17.8510000680298</v>
      </c>
      <c r="G25" s="27">
        <f>BS!G22</f>
        <v>17.8510000680298</v>
      </c>
      <c r="H25" s="27">
        <f>BS!H22</f>
        <v>17.8510000680298</v>
      </c>
      <c r="I25" s="27">
        <f>BS!I22</f>
        <v>17.8510000680298</v>
      </c>
      <c r="J25" s="27">
        <f>BS!J22</f>
        <v>17.8510000680298</v>
      </c>
    </row>
    <row r="26" spans="2:10">
      <c r="B26" t="s">
        <v>25</v>
      </c>
      <c r="C26" s="27">
        <f>'P&amp;L'!C5/BS!C12</f>
        <v>3.13485677502414</v>
      </c>
      <c r="D26" s="27">
        <f>'P&amp;L'!D5/((BS!D12+BS!C12)/2)</f>
        <v>3.17429923940216</v>
      </c>
      <c r="E26" s="27">
        <f>'P&amp;L'!E5/((BS!E12+BS!D12)/2)</f>
        <v>2.79565937097664</v>
      </c>
      <c r="F26" s="28">
        <f>'P&amp;L'!I5/((BS!F12+BS!F12)/2)</f>
        <v>2.23574599184737</v>
      </c>
      <c r="G26" s="28">
        <f>'P&amp;L'!J5/((BS!G12+BS!G12)/2)</f>
        <v>2.04815807183004</v>
      </c>
      <c r="H26" s="28">
        <f>'P&amp;L'!K5/((BS!H12+BS!H12)/2)</f>
        <v>1.89424162684703</v>
      </c>
      <c r="I26" s="28">
        <f>'P&amp;L'!L5/((BS!I12+BS!I12)/2)</f>
        <v>1.76586617728733</v>
      </c>
      <c r="J26" s="28">
        <f>'P&amp;L'!M5/((BS!J12+BS!J12)/2)</f>
        <v>1.65733667055824</v>
      </c>
    </row>
    <row r="27" spans="2:10">
      <c r="B27" t="s">
        <v>26</v>
      </c>
      <c r="C27" s="27">
        <f>C23+C24-C25</f>
        <v>22.0972611232517</v>
      </c>
      <c r="D27" s="27">
        <f t="shared" ref="D27:J27" si="0">D23+D24-D25</f>
        <v>24.68861840154</v>
      </c>
      <c r="E27" s="27">
        <f t="shared" si="0"/>
        <v>30.872385746737</v>
      </c>
      <c r="F27" s="27">
        <f t="shared" si="0"/>
        <v>25.8860884238429</v>
      </c>
      <c r="G27" s="27">
        <f t="shared" si="0"/>
        <v>25.8860884238429</v>
      </c>
      <c r="H27" s="27">
        <f t="shared" si="0"/>
        <v>25.8860884238429</v>
      </c>
      <c r="I27" s="27">
        <f t="shared" si="0"/>
        <v>25.8860884238429</v>
      </c>
      <c r="J27" s="27">
        <f t="shared" si="0"/>
        <v>25.8860884238429</v>
      </c>
    </row>
    <row r="29" spans="2:10">
      <c r="B29" s="48" t="s">
        <v>6</v>
      </c>
      <c r="D29" s="27">
        <f>'Cash Flow Statement'!C17-'PP&amp;E'!D8</f>
        <v>9.88000000000009</v>
      </c>
      <c r="E29" s="27">
        <f>'Cash Flow Statement'!D17-'PP&amp;E'!E8</f>
        <v>218.18</v>
      </c>
      <c r="F29" s="27">
        <f>'Cash Flow Statement'!E17-'PP&amp;E'!F8</f>
        <v>366.551977789867</v>
      </c>
      <c r="G29" s="27">
        <f>'Cash Flow Statement'!F17-'PP&amp;E'!G8</f>
        <v>336.357017591403</v>
      </c>
      <c r="H29" s="27">
        <f>'Cash Flow Statement'!G17-'PP&amp;E'!H8</f>
        <v>350.357914630126</v>
      </c>
      <c r="I29" s="27">
        <f>'Cash Flow Statement'!H17-'PP&amp;E'!I8</f>
        <v>364.939281833921</v>
      </c>
      <c r="J29" s="27">
        <f>'Cash Flow Statement'!I17-'PP&amp;E'!J8</f>
        <v>380.132417669592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43"/>
  <sheetViews>
    <sheetView zoomScale="111" zoomScaleNormal="111" topLeftCell="A2" workbookViewId="0">
      <selection activeCell="I5" sqref="I5"/>
    </sheetView>
  </sheetViews>
  <sheetFormatPr defaultColWidth="9" defaultRowHeight="11.4"/>
  <cols>
    <col min="1" max="1" width="2" style="1" customWidth="1"/>
    <col min="2" max="2" width="20.8888888888889" style="1" customWidth="1"/>
    <col min="3" max="3" width="10.5555555555556" style="1" customWidth="1"/>
    <col min="4" max="5" width="9.13888888888889" style="1"/>
    <col min="6" max="6" width="2" style="1" customWidth="1"/>
    <col min="7" max="8" width="9.13888888888889" style="1" outlineLevel="1"/>
    <col min="9" max="9" width="12.3333333333333" style="1"/>
    <col min="10" max="16384" width="9.13888888888889" style="1"/>
  </cols>
  <sheetData>
    <row r="1" ht="15.6" spans="2:2">
      <c r="B1" s="67" t="s">
        <v>27</v>
      </c>
    </row>
    <row r="2" ht="15.6" spans="2:2">
      <c r="B2" s="67"/>
    </row>
    <row r="3" ht="12" spans="2:13">
      <c r="B3" s="1" t="s">
        <v>28</v>
      </c>
      <c r="C3" s="68" t="s">
        <v>29</v>
      </c>
      <c r="I3" s="24" t="s">
        <v>7</v>
      </c>
      <c r="J3" s="24"/>
      <c r="K3" s="24"/>
      <c r="L3" s="24"/>
      <c r="M3" s="24"/>
    </row>
    <row r="4" ht="24.75" spans="2:13">
      <c r="B4" s="25" t="s">
        <v>30</v>
      </c>
      <c r="C4" s="26">
        <v>2014</v>
      </c>
      <c r="D4" s="26">
        <v>2015</v>
      </c>
      <c r="E4" s="26">
        <v>2016</v>
      </c>
      <c r="G4" s="69" t="s">
        <v>31</v>
      </c>
      <c r="H4" s="69" t="s">
        <v>32</v>
      </c>
      <c r="I4" s="26">
        <v>2017</v>
      </c>
      <c r="J4" s="26">
        <v>2018</v>
      </c>
      <c r="K4" s="26">
        <v>2019</v>
      </c>
      <c r="L4" s="26">
        <v>2020</v>
      </c>
      <c r="M4" s="26">
        <v>2021</v>
      </c>
    </row>
    <row r="5" spans="2:13">
      <c r="B5" s="70" t="s">
        <v>3</v>
      </c>
      <c r="C5" s="70">
        <f>+SUMIFS(Workings!$E:$E,Workings!$F:$F,'P&amp;L'!$B5,Workings!$C:$C,'P&amp;L'!C$4)</f>
        <v>2922</v>
      </c>
      <c r="D5" s="70">
        <f>+SUMIFS(Workings!$E:$E,Workings!$F:$F,'P&amp;L'!$B5,Workings!$C:$C,'P&amp;L'!D$4)</f>
        <v>2984</v>
      </c>
      <c r="E5" s="70">
        <f>+SUMIFS(Workings!$E:$E,Workings!$F:$F,'P&amp;L'!$B5,Workings!$C:$C,'P&amp;L'!E$4)</f>
        <v>3040</v>
      </c>
      <c r="G5" s="71">
        <f>D5/C5-1</f>
        <v>0.0212183436002737</v>
      </c>
      <c r="H5" s="71">
        <f t="shared" ref="H5:H15" si="0">E5/D5-1</f>
        <v>0.0187667560321716</v>
      </c>
      <c r="I5" s="70">
        <f>E5*(1+I19)</f>
        <v>3131.2</v>
      </c>
      <c r="J5" s="70">
        <f>I5*(1+J19)</f>
        <v>3225.136</v>
      </c>
      <c r="K5" s="70">
        <f>J5*(1+K19)</f>
        <v>3321.89008</v>
      </c>
      <c r="L5" s="70">
        <f>K5*(1+L19)</f>
        <v>3421.5467824</v>
      </c>
      <c r="M5" s="70">
        <f>L5*(1+M19)</f>
        <v>3524.193185872</v>
      </c>
    </row>
    <row r="6" spans="2:13">
      <c r="B6" s="70" t="s">
        <v>33</v>
      </c>
      <c r="C6" s="70">
        <f>-1*SUMIFS(Workings!$E:$E,Workings!$F:$F,'P&amp;L'!$B6,Workings!$C:$C,'P&amp;L'!C$4)</f>
        <v>-1401</v>
      </c>
      <c r="D6" s="70">
        <f>-1*SUMIFS(Workings!$E:$E,Workings!$F:$F,'P&amp;L'!$B6,Workings!$C:$C,'P&amp;L'!D$4)</f>
        <v>-1383</v>
      </c>
      <c r="E6" s="70">
        <f>-1*SUMIFS(Workings!$E:$E,Workings!$F:$F,'P&amp;L'!$B6,Workings!$C:$C,'P&amp;L'!E$4)</f>
        <v>-1367</v>
      </c>
      <c r="G6" s="71">
        <f t="shared" ref="G6:G15" si="1">D6/C6-1</f>
        <v>-0.012847965738758</v>
      </c>
      <c r="H6" s="71">
        <f t="shared" si="0"/>
        <v>-0.0115690527838034</v>
      </c>
      <c r="I6" s="70">
        <f>I5*I24</f>
        <v>-1409.04</v>
      </c>
      <c r="J6" s="70">
        <f>J5*J24</f>
        <v>-1451.3112</v>
      </c>
      <c r="K6" s="70">
        <f>K5*K24</f>
        <v>-1494.850536</v>
      </c>
      <c r="L6" s="70">
        <f>L5*L24</f>
        <v>-1539.69605208</v>
      </c>
      <c r="M6" s="70">
        <f>M5*M24</f>
        <v>-1585.8869336424</v>
      </c>
    </row>
    <row r="7" ht="12" spans="2:13">
      <c r="B7" s="72" t="s">
        <v>34</v>
      </c>
      <c r="C7" s="72">
        <f>SUM(C5:C6)</f>
        <v>1521</v>
      </c>
      <c r="D7" s="72">
        <f t="shared" ref="D7:M7" si="2">SUM(D5:D6)</f>
        <v>1601</v>
      </c>
      <c r="E7" s="72">
        <f t="shared" si="2"/>
        <v>1673</v>
      </c>
      <c r="G7" s="73">
        <f t="shared" si="1"/>
        <v>0.0525969756738986</v>
      </c>
      <c r="H7" s="73">
        <f t="shared" si="0"/>
        <v>0.0449718925671456</v>
      </c>
      <c r="I7" s="72">
        <f t="shared" si="2"/>
        <v>1722.16</v>
      </c>
      <c r="J7" s="72">
        <f t="shared" si="2"/>
        <v>1773.8248</v>
      </c>
      <c r="K7" s="72">
        <f t="shared" si="2"/>
        <v>1827.039544</v>
      </c>
      <c r="L7" s="72">
        <f t="shared" si="2"/>
        <v>1881.85073032</v>
      </c>
      <c r="M7" s="72">
        <f t="shared" si="2"/>
        <v>1938.3062522296</v>
      </c>
    </row>
    <row r="8" spans="2:13">
      <c r="B8" s="70" t="s">
        <v>35</v>
      </c>
      <c r="C8" s="70">
        <f>-1*SUMIFS(Workings!$E:$E,Workings!$F:$F,'P&amp;L'!$B8,Workings!$C:$C,'P&amp;L'!C$4)</f>
        <v>-1212.18</v>
      </c>
      <c r="D8" s="70">
        <f>-1*SUMIFS(Workings!$E:$E,Workings!$F:$F,'P&amp;L'!$B8,Workings!$C:$C,'P&amp;L'!D$4)</f>
        <v>-1245.34</v>
      </c>
      <c r="E8" s="70">
        <f>-1*SUMIFS(Workings!$E:$E,Workings!$F:$F,'P&amp;L'!$B8,Workings!$C:$C,'P&amp;L'!E$4)</f>
        <v>-1068.24</v>
      </c>
      <c r="G8" s="71">
        <f t="shared" si="1"/>
        <v>0.0273556732498474</v>
      </c>
      <c r="H8" s="71">
        <f>E8/D8-1</f>
        <v>-0.142210159474521</v>
      </c>
      <c r="I8" s="70">
        <f>I5*I29</f>
        <v>-1095.92</v>
      </c>
      <c r="J8" s="70">
        <f>J5*J29</f>
        <v>-1128.7976</v>
      </c>
      <c r="K8" s="70">
        <f>K5*K29</f>
        <v>-1162.661528</v>
      </c>
      <c r="L8" s="70">
        <f>L5*L29</f>
        <v>-1197.54137384</v>
      </c>
      <c r="M8" s="70">
        <f>M5*M29</f>
        <v>-1233.4676150552</v>
      </c>
    </row>
    <row r="9" ht="12" spans="2:13">
      <c r="B9" s="72" t="s">
        <v>4</v>
      </c>
      <c r="C9" s="72">
        <f>SUM(C7:C8)</f>
        <v>308.82</v>
      </c>
      <c r="D9" s="72">
        <f t="shared" ref="D9:M9" si="3">SUM(D7:D8)</f>
        <v>355.66</v>
      </c>
      <c r="E9" s="72">
        <f t="shared" si="3"/>
        <v>604.76</v>
      </c>
      <c r="G9" s="73">
        <f t="shared" si="1"/>
        <v>0.151674114370831</v>
      </c>
      <c r="H9" s="73">
        <f t="shared" si="0"/>
        <v>0.700388011021762</v>
      </c>
      <c r="I9" s="72">
        <f t="shared" si="3"/>
        <v>626.24</v>
      </c>
      <c r="J9" s="72">
        <f t="shared" si="3"/>
        <v>645.0272</v>
      </c>
      <c r="K9" s="72">
        <f t="shared" si="3"/>
        <v>664.378016</v>
      </c>
      <c r="L9" s="72">
        <f t="shared" si="3"/>
        <v>684.30935648</v>
      </c>
      <c r="M9" s="72">
        <f t="shared" si="3"/>
        <v>704.8386371744</v>
      </c>
    </row>
    <row r="10" spans="2:13">
      <c r="B10" s="70" t="s">
        <v>36</v>
      </c>
      <c r="C10" s="70">
        <f>-1*SUMIFS(Workings!$E:$E,Workings!$F:$F,'P&amp;L'!$B10,Workings!$C:$C,'P&amp;L'!C$4)</f>
        <v>-31</v>
      </c>
      <c r="D10" s="70">
        <f>-1*SUMIFS(Workings!$E:$E,Workings!$F:$F,'P&amp;L'!$B10,Workings!$C:$C,'P&amp;L'!D$4)</f>
        <v>-44</v>
      </c>
      <c r="E10" s="70">
        <f>-1*SUMIFS(Workings!$E:$E,Workings!$F:$F,'P&amp;L'!$B10,Workings!$C:$C,'P&amp;L'!E$4)</f>
        <v>-41</v>
      </c>
      <c r="G10" s="71">
        <f t="shared" si="1"/>
        <v>0.419354838709677</v>
      </c>
      <c r="H10" s="71">
        <f t="shared" si="0"/>
        <v>-0.0681818181818182</v>
      </c>
      <c r="I10" s="70">
        <f>'PP&amp;E'!F7</f>
        <v>-44.3142292490119</v>
      </c>
      <c r="J10" s="70">
        <f>'PP&amp;E'!G7</f>
        <v>-45.260066553141</v>
      </c>
      <c r="K10" s="70">
        <f>'PP&amp;E'!H7</f>
        <v>-46.2260916890578</v>
      </c>
      <c r="L10" s="70">
        <f>'PP&amp;E'!I7</f>
        <v>-47.2127355432907</v>
      </c>
      <c r="M10" s="70">
        <f>'PP&amp;E'!J7</f>
        <v>-48.2204381991554</v>
      </c>
    </row>
    <row r="11" ht="12" spans="2:13">
      <c r="B11" s="72" t="s">
        <v>37</v>
      </c>
      <c r="C11" s="72">
        <f>SUM(C9:C10)</f>
        <v>277.82</v>
      </c>
      <c r="D11" s="72">
        <f t="shared" ref="D11:M11" si="4">SUM(D9:D10)</f>
        <v>311.66</v>
      </c>
      <c r="E11" s="72">
        <f t="shared" si="4"/>
        <v>563.76</v>
      </c>
      <c r="G11" s="73">
        <f t="shared" si="1"/>
        <v>0.121805485566195</v>
      </c>
      <c r="H11" s="73">
        <f t="shared" si="0"/>
        <v>0.808894307899634</v>
      </c>
      <c r="I11" s="72">
        <f t="shared" si="4"/>
        <v>581.925770750988</v>
      </c>
      <c r="J11" s="72">
        <f t="shared" si="4"/>
        <v>599.767133446859</v>
      </c>
      <c r="K11" s="72">
        <f t="shared" si="4"/>
        <v>618.151924310942</v>
      </c>
      <c r="L11" s="72">
        <f t="shared" si="4"/>
        <v>637.096620936709</v>
      </c>
      <c r="M11" s="72">
        <f t="shared" si="4"/>
        <v>656.618198975245</v>
      </c>
    </row>
    <row r="12" spans="2:13">
      <c r="B12" s="70" t="s">
        <v>38</v>
      </c>
      <c r="C12" s="70">
        <f>-1*SUMIFS(Workings!$E:$E,Workings!$F:$F,'P&amp;L'!$B12,Workings!$C:$C,'P&amp;L'!C$4)</f>
        <v>-56</v>
      </c>
      <c r="D12" s="70">
        <f>-1*SUMIFS(Workings!$E:$E,Workings!$F:$F,'P&amp;L'!$B12,Workings!$C:$C,'P&amp;L'!D$4)</f>
        <v>-65</v>
      </c>
      <c r="E12" s="70">
        <f>-1*SUMIFS(Workings!$E:$E,Workings!$F:$F,'P&amp;L'!$B12,Workings!$C:$C,'P&amp;L'!E$4)</f>
        <v>-52</v>
      </c>
      <c r="G12" s="71">
        <f t="shared" si="1"/>
        <v>0.160714285714286</v>
      </c>
      <c r="H12" s="71">
        <f t="shared" si="0"/>
        <v>-0.2</v>
      </c>
      <c r="I12" s="70">
        <f>'Financial Liabilities'!C17</f>
        <v>-54.45</v>
      </c>
      <c r="J12" s="70">
        <f>'Financial Liabilities'!D17</f>
        <v>-50.8660961044531</v>
      </c>
      <c r="K12" s="70">
        <f>'Financial Liabilities'!E17</f>
        <v>-46.959640858307</v>
      </c>
      <c r="L12" s="70">
        <f>'Financial Liabilities'!F17</f>
        <v>-42.7016046400077</v>
      </c>
      <c r="M12" s="70">
        <f>'Financial Liabilities'!G17</f>
        <v>-38.0603451620616</v>
      </c>
    </row>
    <row r="13" ht="12" spans="2:13">
      <c r="B13" s="72" t="s">
        <v>39</v>
      </c>
      <c r="C13" s="72">
        <f>SUM(C11:C12)</f>
        <v>221.82</v>
      </c>
      <c r="D13" s="72">
        <f t="shared" ref="D13:M13" si="5">SUM(D11:D12)</f>
        <v>246.66</v>
      </c>
      <c r="E13" s="72">
        <f t="shared" si="5"/>
        <v>511.76</v>
      </c>
      <c r="G13" s="73">
        <f t="shared" si="1"/>
        <v>0.111982688666487</v>
      </c>
      <c r="H13" s="73">
        <f t="shared" si="0"/>
        <v>1.07475877726425</v>
      </c>
      <c r="I13" s="72">
        <f t="shared" si="5"/>
        <v>527.475770750988</v>
      </c>
      <c r="J13" s="72">
        <f t="shared" si="5"/>
        <v>548.901037342406</v>
      </c>
      <c r="K13" s="72">
        <f t="shared" si="5"/>
        <v>571.192283452635</v>
      </c>
      <c r="L13" s="72">
        <f t="shared" si="5"/>
        <v>594.395016296702</v>
      </c>
      <c r="M13" s="72">
        <f t="shared" si="5"/>
        <v>618.557853813183</v>
      </c>
    </row>
    <row r="14" spans="2:13">
      <c r="B14" s="70" t="s">
        <v>40</v>
      </c>
      <c r="C14" s="70">
        <f>-1*SUMIFS(Workings!$E:$E,Workings!$F:$F,'P&amp;L'!$B14,Workings!$C:$C,'P&amp;L'!C$4)</f>
        <v>-207.52</v>
      </c>
      <c r="D14" s="70">
        <f>-1*SUMIFS(Workings!$E:$E,Workings!$F:$F,'P&amp;L'!$B14,Workings!$C:$C,'P&amp;L'!D$4)</f>
        <v>-209.98</v>
      </c>
      <c r="E14" s="70">
        <f>-1*SUMIFS(Workings!$E:$E,Workings!$F:$F,'P&amp;L'!$B14,Workings!$C:$C,'P&amp;L'!E$4)</f>
        <v>-208.58</v>
      </c>
      <c r="G14" s="71">
        <f t="shared" si="1"/>
        <v>0.0118542791056282</v>
      </c>
      <c r="H14" s="71">
        <f>E14/D14-1</f>
        <v>-0.00666730164777585</v>
      </c>
      <c r="I14" s="70">
        <f>I13*I34</f>
        <v>-184.616519762846</v>
      </c>
      <c r="J14" s="70">
        <f>J13*J34</f>
        <v>-192.115363069842</v>
      </c>
      <c r="K14" s="70">
        <f>K13*K34</f>
        <v>-199.917299208422</v>
      </c>
      <c r="L14" s="70">
        <f>L13*L34</f>
        <v>-208.038255703846</v>
      </c>
      <c r="M14" s="70">
        <f>M13*M34</f>
        <v>-216.495248834614</v>
      </c>
    </row>
    <row r="15" ht="12.75" spans="2:13">
      <c r="B15" s="74" t="s">
        <v>5</v>
      </c>
      <c r="C15" s="30">
        <f>SUM(C13:C14)</f>
        <v>14.2999999999999</v>
      </c>
      <c r="D15" s="30">
        <f t="shared" ref="D15:M15" si="6">SUM(D13:D14)</f>
        <v>36.6800000000001</v>
      </c>
      <c r="E15" s="30">
        <f t="shared" si="6"/>
        <v>303.18</v>
      </c>
      <c r="G15" s="75">
        <f t="shared" si="1"/>
        <v>1.56503496503498</v>
      </c>
      <c r="H15" s="75">
        <f t="shared" si="0"/>
        <v>7.26553980370772</v>
      </c>
      <c r="I15" s="30">
        <f t="shared" si="6"/>
        <v>342.859250988142</v>
      </c>
      <c r="J15" s="30">
        <f t="shared" si="6"/>
        <v>356.785674272564</v>
      </c>
      <c r="K15" s="30">
        <f t="shared" si="6"/>
        <v>371.274984244213</v>
      </c>
      <c r="L15" s="30">
        <f t="shared" si="6"/>
        <v>386.356760592856</v>
      </c>
      <c r="M15" s="30">
        <f t="shared" si="6"/>
        <v>402.062604978569</v>
      </c>
    </row>
    <row r="16" ht="14.4" spans="2:4">
      <c r="B16" s="76"/>
      <c r="D16" s="13"/>
    </row>
    <row r="17" ht="14.4" spans="2:13">
      <c r="B17" s="77" t="s">
        <v>41</v>
      </c>
      <c r="C17" s="78"/>
      <c r="D17" s="34"/>
      <c r="E17" s="78"/>
      <c r="F17" s="78"/>
      <c r="G17" s="78"/>
      <c r="H17" s="78"/>
      <c r="I17" s="78"/>
      <c r="J17" s="78"/>
      <c r="K17" s="78"/>
      <c r="L17" s="78"/>
      <c r="M17" s="78"/>
    </row>
    <row r="18" ht="14.4" spans="2:13">
      <c r="B18" s="78"/>
      <c r="C18" s="78"/>
      <c r="D18" s="34"/>
      <c r="E18" s="78"/>
      <c r="F18" s="78"/>
      <c r="G18" s="78"/>
      <c r="H18" s="78"/>
      <c r="I18" s="78"/>
      <c r="J18" s="78"/>
      <c r="K18" s="78"/>
      <c r="L18" s="78"/>
      <c r="M18" s="78"/>
    </row>
    <row r="19" ht="14.4" spans="2:13">
      <c r="B19" s="78" t="s">
        <v>42</v>
      </c>
      <c r="C19" s="78"/>
      <c r="D19" s="34"/>
      <c r="E19" s="78"/>
      <c r="F19" s="78"/>
      <c r="G19" s="78"/>
      <c r="H19" s="78"/>
      <c r="I19" s="84">
        <f>VLOOKUP($C$3,$B$19:$M$32,COLUMNS($B20:I22),FALSE)</f>
        <v>0.03</v>
      </c>
      <c r="J19" s="84">
        <f>VLOOKUP($C$3,$B$19:$M$32,COLUMNS($B20:J22),FALSE)</f>
        <v>0.03</v>
      </c>
      <c r="K19" s="84">
        <f>VLOOKUP($C$3,$B$19:$M$32,COLUMNS($B20:K22),FALSE)</f>
        <v>0.03</v>
      </c>
      <c r="L19" s="84">
        <f>VLOOKUP($C$3,$B$19:$M$32,COLUMNS($B20:L22),FALSE)</f>
        <v>0.03</v>
      </c>
      <c r="M19" s="84">
        <f>VLOOKUP($C$3,$B$19:$M$32,COLUMNS($B20:M22),FALSE)</f>
        <v>0.03</v>
      </c>
    </row>
    <row r="20" ht="14.4" spans="2:13">
      <c r="B20" s="78" t="s">
        <v>29</v>
      </c>
      <c r="C20" s="79"/>
      <c r="D20" s="80"/>
      <c r="E20" s="79"/>
      <c r="F20" s="78"/>
      <c r="G20" s="78"/>
      <c r="H20" s="78"/>
      <c r="I20" s="85">
        <v>0.03</v>
      </c>
      <c r="J20" s="81">
        <v>0.03</v>
      </c>
      <c r="K20" s="81">
        <v>0.03</v>
      </c>
      <c r="L20" s="81">
        <v>0.03</v>
      </c>
      <c r="M20" s="81">
        <v>0.03</v>
      </c>
    </row>
    <row r="21" ht="14.4" spans="2:13">
      <c r="B21" s="78" t="s">
        <v>43</v>
      </c>
      <c r="C21" s="79"/>
      <c r="D21" s="80"/>
      <c r="E21" s="79"/>
      <c r="F21" s="78"/>
      <c r="G21" s="78"/>
      <c r="H21" s="78"/>
      <c r="I21" s="85">
        <v>0.02</v>
      </c>
      <c r="J21" s="81">
        <v>0.02</v>
      </c>
      <c r="K21" s="81">
        <v>0.02</v>
      </c>
      <c r="L21" s="81">
        <v>0.02</v>
      </c>
      <c r="M21" s="81">
        <v>0.02</v>
      </c>
    </row>
    <row r="22" ht="14.4" spans="2:13">
      <c r="B22" s="78" t="s">
        <v>44</v>
      </c>
      <c r="C22" s="79"/>
      <c r="D22" s="80"/>
      <c r="E22" s="79"/>
      <c r="F22" s="78"/>
      <c r="G22" s="78"/>
      <c r="H22" s="78"/>
      <c r="I22" s="85">
        <v>0.01</v>
      </c>
      <c r="J22" s="81">
        <v>0.01</v>
      </c>
      <c r="K22" s="81">
        <v>0.01</v>
      </c>
      <c r="L22" s="81">
        <v>0.01</v>
      </c>
      <c r="M22" s="81">
        <v>0.01</v>
      </c>
    </row>
    <row r="23" ht="14.4" spans="2:13">
      <c r="B23" s="34"/>
      <c r="C23" s="78"/>
      <c r="D23" s="34"/>
      <c r="E23" s="78"/>
      <c r="F23" s="78"/>
      <c r="G23" s="78"/>
      <c r="H23" s="78"/>
      <c r="I23" s="78"/>
      <c r="J23" s="78"/>
      <c r="K23" s="78"/>
      <c r="L23" s="78"/>
      <c r="M23" s="78"/>
    </row>
    <row r="24" ht="14.4" spans="2:13">
      <c r="B24" s="34" t="s">
        <v>45</v>
      </c>
      <c r="C24" s="78"/>
      <c r="D24" s="34"/>
      <c r="E24" s="78"/>
      <c r="F24" s="78"/>
      <c r="G24" s="78"/>
      <c r="H24" s="78"/>
      <c r="I24" s="84">
        <f>CHOOSE(MATCH($C$3,$B$25:$B$27,0),I25,I26,I27)</f>
        <v>-0.45</v>
      </c>
      <c r="J24" s="84">
        <f>CHOOSE(MATCH($C$3,$B$25:$B$27,0),J25,J26,J27)</f>
        <v>-0.45</v>
      </c>
      <c r="K24" s="84">
        <f>CHOOSE(MATCH($C$3,$B$25:$B$27,0),K25,K26,K27)</f>
        <v>-0.45</v>
      </c>
      <c r="L24" s="84">
        <f>CHOOSE(MATCH($C$3,$B$25:$B$27,0),L25,L26,L27)</f>
        <v>-0.45</v>
      </c>
      <c r="M24" s="84">
        <f>CHOOSE(MATCH($C$3,$B$25:$B$27,0),M25,M26,M27)</f>
        <v>-0.45</v>
      </c>
    </row>
    <row r="25" spans="2:13">
      <c r="B25" s="78" t="s">
        <v>29</v>
      </c>
      <c r="C25" s="81">
        <f>C6/C5</f>
        <v>-0.479466119096509</v>
      </c>
      <c r="D25" s="81">
        <f>D6/D5</f>
        <v>-0.463471849865952</v>
      </c>
      <c r="E25" s="81">
        <f>E6/E5</f>
        <v>-0.449671052631579</v>
      </c>
      <c r="F25" s="82"/>
      <c r="G25" s="82"/>
      <c r="H25" s="82"/>
      <c r="I25" s="85">
        <v>-0.45</v>
      </c>
      <c r="J25" s="81">
        <v>-0.45</v>
      </c>
      <c r="K25" s="81">
        <v>-0.45</v>
      </c>
      <c r="L25" s="81">
        <v>-0.45</v>
      </c>
      <c r="M25" s="81">
        <v>-0.45</v>
      </c>
    </row>
    <row r="26" ht="14.4" spans="2:13">
      <c r="B26" s="78" t="s">
        <v>43</v>
      </c>
      <c r="C26" s="81">
        <v>-0.479466119096509</v>
      </c>
      <c r="D26" s="83">
        <v>-0.463471849865952</v>
      </c>
      <c r="E26" s="81">
        <v>-0.449671052631579</v>
      </c>
      <c r="F26" s="82"/>
      <c r="G26" s="82"/>
      <c r="H26" s="82"/>
      <c r="I26" s="81">
        <v>-0.463471849865952</v>
      </c>
      <c r="J26" s="81">
        <v>-0.463471849865952</v>
      </c>
      <c r="K26" s="81">
        <v>-0.463471849865952</v>
      </c>
      <c r="L26" s="81">
        <v>-0.463471849865952</v>
      </c>
      <c r="M26" s="81">
        <v>-0.463471849865952</v>
      </c>
    </row>
    <row r="27" ht="14.4" spans="2:13">
      <c r="B27" s="78" t="s">
        <v>44</v>
      </c>
      <c r="C27" s="81">
        <v>-0.479466119096509</v>
      </c>
      <c r="D27" s="83">
        <v>-0.463471849865952</v>
      </c>
      <c r="E27" s="81">
        <v>-0.449671052631579</v>
      </c>
      <c r="F27" s="82"/>
      <c r="G27" s="82"/>
      <c r="H27" s="82"/>
      <c r="I27" s="81">
        <v>-0.479466119096509</v>
      </c>
      <c r="J27" s="81">
        <v>-0.479466119096509</v>
      </c>
      <c r="K27" s="81">
        <v>-0.479466119096509</v>
      </c>
      <c r="L27" s="81">
        <v>-0.479466119096509</v>
      </c>
      <c r="M27" s="81">
        <v>-0.479466119096509</v>
      </c>
    </row>
    <row r="28" ht="14.4" spans="2:13">
      <c r="B28" s="34"/>
      <c r="C28" s="78"/>
      <c r="D28" s="34"/>
      <c r="E28" s="78"/>
      <c r="F28" s="78"/>
      <c r="G28" s="78"/>
      <c r="H28" s="78"/>
      <c r="I28" s="78"/>
      <c r="J28" s="78"/>
      <c r="K28" s="78"/>
      <c r="L28" s="78"/>
      <c r="M28" s="78"/>
    </row>
    <row r="29" ht="14.4" spans="2:13">
      <c r="B29" s="34" t="s">
        <v>46</v>
      </c>
      <c r="C29" s="78"/>
      <c r="D29" s="34"/>
      <c r="E29" s="78"/>
      <c r="F29" s="78"/>
      <c r="G29" s="78"/>
      <c r="H29" s="78"/>
      <c r="I29" s="84">
        <f>CHOOSE(MATCH($C$3,$B$25:$B$27,0),I30,I31,I32)</f>
        <v>-0.35</v>
      </c>
      <c r="J29" s="84">
        <f>CHOOSE(MATCH($C$3,$B$25:$B$27,0),J30,J31,J32)</f>
        <v>-0.35</v>
      </c>
      <c r="K29" s="84">
        <f>CHOOSE(MATCH($C$3,$B$25:$B$27,0),K30,K31,K32)</f>
        <v>-0.35</v>
      </c>
      <c r="L29" s="84">
        <f>CHOOSE(MATCH($C$3,$B$25:$B$27,0),L30,L31,L32)</f>
        <v>-0.35</v>
      </c>
      <c r="M29" s="84">
        <f>CHOOSE(MATCH($C$3,$B$25:$B$27,0),M30,M31,M32)</f>
        <v>-0.35</v>
      </c>
    </row>
    <row r="30" spans="2:13">
      <c r="B30" s="78" t="s">
        <v>29</v>
      </c>
      <c r="C30" s="81">
        <f>C8/C5</f>
        <v>-0.414845995893224</v>
      </c>
      <c r="D30" s="81">
        <f>D8/D5</f>
        <v>-0.417339142091153</v>
      </c>
      <c r="E30" s="81">
        <f>E8/E5</f>
        <v>-0.351394736842105</v>
      </c>
      <c r="F30" s="82"/>
      <c r="G30" s="82"/>
      <c r="H30" s="82"/>
      <c r="I30" s="85">
        <v>-0.35</v>
      </c>
      <c r="J30" s="81">
        <v>-0.35</v>
      </c>
      <c r="K30" s="81">
        <v>-0.35</v>
      </c>
      <c r="L30" s="81">
        <v>-0.35</v>
      </c>
      <c r="M30" s="81">
        <v>-0.35</v>
      </c>
    </row>
    <row r="31" ht="14.4" spans="2:13">
      <c r="B31" s="78" t="s">
        <v>43</v>
      </c>
      <c r="C31" s="81">
        <v>-0.414845995893224</v>
      </c>
      <c r="D31" s="83">
        <v>-0.417339142091153</v>
      </c>
      <c r="E31" s="81">
        <v>-0.351394736842105</v>
      </c>
      <c r="F31" s="82"/>
      <c r="G31" s="82"/>
      <c r="H31" s="82"/>
      <c r="I31" s="85">
        <v>-0.41</v>
      </c>
      <c r="J31" s="81">
        <v>-0.41</v>
      </c>
      <c r="K31" s="81">
        <v>-0.41</v>
      </c>
      <c r="L31" s="81">
        <v>-0.41</v>
      </c>
      <c r="M31" s="81">
        <v>-0.41</v>
      </c>
    </row>
    <row r="32" ht="14.4" spans="2:13">
      <c r="B32" s="78" t="s">
        <v>44</v>
      </c>
      <c r="C32" s="81">
        <v>-0.414845995893224</v>
      </c>
      <c r="D32" s="83">
        <v>-0.417339142091153</v>
      </c>
      <c r="E32" s="81">
        <v>-0.351394736842105</v>
      </c>
      <c r="F32" s="82"/>
      <c r="G32" s="82"/>
      <c r="H32" s="82"/>
      <c r="I32" s="85">
        <v>-0.42</v>
      </c>
      <c r="J32" s="81">
        <v>-0.42</v>
      </c>
      <c r="K32" s="81">
        <v>-0.42</v>
      </c>
      <c r="L32" s="81">
        <v>-0.42</v>
      </c>
      <c r="M32" s="81">
        <v>-0.42</v>
      </c>
    </row>
    <row r="33" ht="14.4" spans="2:13">
      <c r="B33" s="34"/>
      <c r="C33" s="78"/>
      <c r="D33" s="34"/>
      <c r="E33" s="78"/>
      <c r="F33" s="78"/>
      <c r="G33" s="78"/>
      <c r="H33" s="78"/>
      <c r="I33" s="78"/>
      <c r="J33" s="78"/>
      <c r="K33" s="78"/>
      <c r="L33" s="78"/>
      <c r="M33" s="78"/>
    </row>
    <row r="34" ht="14.4" spans="2:13">
      <c r="B34" s="34" t="s">
        <v>40</v>
      </c>
      <c r="C34" s="78"/>
      <c r="D34" s="34"/>
      <c r="E34" s="78"/>
      <c r="F34" s="78"/>
      <c r="G34" s="78"/>
      <c r="H34" s="78"/>
      <c r="I34" s="85">
        <v>-0.35</v>
      </c>
      <c r="J34" s="85">
        <v>-0.35</v>
      </c>
      <c r="K34" s="85">
        <v>-0.35</v>
      </c>
      <c r="L34" s="85">
        <v>-0.35</v>
      </c>
      <c r="M34" s="85">
        <v>-0.35</v>
      </c>
    </row>
    <row r="35" ht="14.4" spans="2:4">
      <c r="B35" s="13"/>
      <c r="D35" s="13"/>
    </row>
    <row r="36" ht="14.4" spans="2:4">
      <c r="B36" s="13"/>
      <c r="D36" s="13"/>
    </row>
    <row r="37" ht="14.4" spans="2:4">
      <c r="B37" s="13"/>
      <c r="D37" s="13"/>
    </row>
    <row r="38" ht="14.4" spans="2:4">
      <c r="B38" s="13"/>
      <c r="D38" s="13"/>
    </row>
    <row r="39" ht="14.4" spans="2:4">
      <c r="B39" s="13"/>
      <c r="D39" s="13"/>
    </row>
    <row r="40" ht="14.4" spans="2:4">
      <c r="B40" s="13"/>
      <c r="D40" s="13"/>
    </row>
    <row r="41" ht="14.4" spans="2:4">
      <c r="B41" s="13"/>
      <c r="D41" s="13"/>
    </row>
    <row r="42" ht="14.4" spans="2:4">
      <c r="B42" s="13"/>
      <c r="D42" s="13"/>
    </row>
    <row r="43" ht="14.4" spans="2:4">
      <c r="B43" s="13"/>
      <c r="D43" s="13"/>
    </row>
    <row r="44" ht="14.4" spans="2:4">
      <c r="B44" s="13"/>
      <c r="D44" s="13"/>
    </row>
    <row r="45" ht="14.4" spans="2:4">
      <c r="B45" s="13"/>
      <c r="D45" s="13"/>
    </row>
    <row r="46" ht="14.4" spans="2:4">
      <c r="B46" s="13"/>
      <c r="D46" s="13"/>
    </row>
    <row r="47" ht="14.4" spans="2:4">
      <c r="B47" s="13"/>
      <c r="D47" s="13"/>
    </row>
    <row r="48" ht="14.4" spans="2:4">
      <c r="B48" s="13"/>
      <c r="D48" s="13"/>
    </row>
    <row r="49" ht="14.4" spans="2:4">
      <c r="B49" s="13"/>
      <c r="D49" s="13"/>
    </row>
    <row r="50" ht="14.4" spans="2:4">
      <c r="B50" s="13"/>
      <c r="D50" s="13"/>
    </row>
    <row r="51" ht="14.4" spans="2:4">
      <c r="B51" s="13"/>
      <c r="D51" s="13"/>
    </row>
    <row r="52" ht="14.4" spans="2:4">
      <c r="B52" s="13"/>
      <c r="D52" s="13"/>
    </row>
    <row r="53" ht="14.4" spans="2:4">
      <c r="B53" s="13"/>
      <c r="D53" s="13"/>
    </row>
    <row r="54" ht="14.4" spans="2:4">
      <c r="B54" s="13"/>
      <c r="D54" s="13"/>
    </row>
    <row r="55" ht="14.4" spans="2:4">
      <c r="B55" s="13"/>
      <c r="D55" s="13"/>
    </row>
    <row r="56" ht="14.4" spans="2:4">
      <c r="B56" s="13"/>
      <c r="D56" s="13"/>
    </row>
    <row r="57" ht="14.4" spans="2:4">
      <c r="B57" s="13"/>
      <c r="D57" s="13"/>
    </row>
    <row r="58" ht="14.4" spans="2:4">
      <c r="B58" s="13"/>
      <c r="D58" s="13"/>
    </row>
    <row r="59" ht="14.4" spans="2:4">
      <c r="B59" s="13"/>
      <c r="D59" s="13"/>
    </row>
    <row r="60" ht="14.4" spans="2:4">
      <c r="B60" s="13"/>
      <c r="D60" s="13"/>
    </row>
    <row r="61" ht="14.4" spans="2:4">
      <c r="B61" s="13"/>
      <c r="D61" s="13"/>
    </row>
    <row r="62" ht="14.4" spans="2:4">
      <c r="B62" s="13"/>
      <c r="D62" s="13"/>
    </row>
    <row r="63" ht="14.4" spans="2:4">
      <c r="B63" s="13"/>
      <c r="D63" s="13"/>
    </row>
    <row r="64" ht="14.4" spans="2:4">
      <c r="B64" s="13"/>
      <c r="D64" s="13"/>
    </row>
    <row r="65" ht="14.4" spans="2:4">
      <c r="B65" s="13"/>
      <c r="D65" s="13"/>
    </row>
    <row r="66" ht="14.4" spans="2:4">
      <c r="B66" s="13"/>
      <c r="D66" s="13"/>
    </row>
    <row r="67" ht="14.4" spans="2:4">
      <c r="B67" s="13"/>
      <c r="D67" s="13"/>
    </row>
    <row r="68" ht="14.4" spans="2:4">
      <c r="B68" s="13"/>
      <c r="D68" s="13"/>
    </row>
    <row r="69" ht="14.4" spans="2:4">
      <c r="B69" s="13"/>
      <c r="D69" s="13"/>
    </row>
    <row r="70" ht="14.4" spans="2:4">
      <c r="B70" s="13"/>
      <c r="D70" s="13"/>
    </row>
    <row r="71" ht="14.4" spans="2:4">
      <c r="B71" s="13"/>
      <c r="D71" s="13"/>
    </row>
    <row r="72" ht="14.4" spans="2:4">
      <c r="B72" s="13"/>
      <c r="D72" s="13"/>
    </row>
    <row r="73" ht="14.4" spans="2:4">
      <c r="B73" s="13"/>
      <c r="D73" s="13"/>
    </row>
    <row r="74" ht="14.4" spans="2:4">
      <c r="B74" s="13"/>
      <c r="D74" s="13"/>
    </row>
    <row r="75" ht="14.4" spans="2:4">
      <c r="B75" s="13"/>
      <c r="D75" s="13"/>
    </row>
    <row r="76" ht="14.4" spans="2:4">
      <c r="B76" s="13"/>
      <c r="D76" s="13"/>
    </row>
    <row r="77" ht="14.4" spans="2:4">
      <c r="B77" s="13"/>
      <c r="D77" s="13"/>
    </row>
    <row r="78" ht="14.4" spans="2:4">
      <c r="B78" s="13"/>
      <c r="D78" s="13"/>
    </row>
    <row r="79" ht="14.4" spans="2:4">
      <c r="B79" s="13"/>
      <c r="D79" s="13"/>
    </row>
    <row r="80" ht="14.4" spans="2:4">
      <c r="B80" s="13"/>
      <c r="D80" s="13"/>
    </row>
    <row r="81" ht="14.4" spans="2:4">
      <c r="B81" s="13"/>
      <c r="D81" s="13"/>
    </row>
    <row r="82" ht="14.4" spans="2:4">
      <c r="B82" s="13"/>
      <c r="D82" s="13"/>
    </row>
    <row r="83" ht="14.4" spans="2:4">
      <c r="B83" s="13"/>
      <c r="D83" s="13"/>
    </row>
    <row r="84" ht="14.4" spans="2:4">
      <c r="B84" s="13"/>
      <c r="D84" s="13"/>
    </row>
    <row r="85" ht="14.4" spans="2:4">
      <c r="B85" s="13"/>
      <c r="D85" s="13"/>
    </row>
    <row r="86" ht="14.4" spans="2:4">
      <c r="B86" s="13"/>
      <c r="D86" s="13"/>
    </row>
    <row r="87" ht="14.4" spans="2:4">
      <c r="B87" s="13"/>
      <c r="D87" s="13"/>
    </row>
    <row r="88" ht="14.4" spans="2:4">
      <c r="B88" s="13"/>
      <c r="D88" s="13"/>
    </row>
    <row r="89" ht="14.4" spans="2:4">
      <c r="B89" s="13"/>
      <c r="D89" s="13"/>
    </row>
    <row r="90" ht="14.4" spans="2:4">
      <c r="B90" s="13"/>
      <c r="D90" s="13"/>
    </row>
    <row r="91" ht="14.4" spans="2:4">
      <c r="B91" s="13"/>
      <c r="D91" s="13"/>
    </row>
    <row r="92" ht="14.4" spans="2:4">
      <c r="B92" s="13"/>
      <c r="D92" s="13"/>
    </row>
    <row r="93" ht="14.4" spans="2:4">
      <c r="B93" s="13"/>
      <c r="D93" s="13"/>
    </row>
    <row r="94" ht="14.4" spans="2:4">
      <c r="B94" s="13"/>
      <c r="D94" s="13"/>
    </row>
    <row r="95" ht="14.4" spans="2:4">
      <c r="B95" s="13"/>
      <c r="D95" s="13"/>
    </row>
    <row r="96" ht="14.4" spans="2:4">
      <c r="B96" s="13"/>
      <c r="D96" s="13"/>
    </row>
    <row r="97" ht="14.4" spans="2:4">
      <c r="B97" s="13"/>
      <c r="D97" s="13"/>
    </row>
    <row r="98" ht="14.4" spans="2:4">
      <c r="B98" s="13"/>
      <c r="D98" s="13"/>
    </row>
    <row r="99" ht="14.4" spans="2:4">
      <c r="B99" s="13"/>
      <c r="D99" s="13"/>
    </row>
    <row r="100" ht="14.4" spans="2:4">
      <c r="B100" s="13"/>
      <c r="D100" s="13"/>
    </row>
    <row r="101" ht="14.4" spans="2:4">
      <c r="B101" s="13"/>
      <c r="D101" s="13"/>
    </row>
    <row r="102" ht="14.4" spans="2:4">
      <c r="B102" s="13"/>
      <c r="D102" s="13"/>
    </row>
    <row r="103" ht="14.4" spans="2:4">
      <c r="B103" s="13"/>
      <c r="D103" s="13"/>
    </row>
    <row r="104" ht="14.4" spans="2:4">
      <c r="B104" s="13"/>
      <c r="D104" s="13"/>
    </row>
    <row r="105" ht="14.4" spans="2:4">
      <c r="B105" s="13"/>
      <c r="D105" s="13"/>
    </row>
    <row r="106" ht="14.4" spans="2:4">
      <c r="B106" s="13"/>
      <c r="D106" s="13"/>
    </row>
    <row r="107" ht="14.4" spans="2:4">
      <c r="B107" s="13"/>
      <c r="D107" s="13"/>
    </row>
    <row r="108" ht="14.4" spans="2:4">
      <c r="B108" s="13"/>
      <c r="D108" s="13"/>
    </row>
    <row r="109" ht="14.4" spans="2:4">
      <c r="B109" s="13"/>
      <c r="D109" s="13"/>
    </row>
    <row r="110" ht="14.4" spans="2:4">
      <c r="B110" s="13"/>
      <c r="D110" s="13"/>
    </row>
    <row r="111" ht="14.4" spans="2:4">
      <c r="B111" s="13"/>
      <c r="D111" s="13"/>
    </row>
    <row r="112" ht="14.4" spans="2:4">
      <c r="B112" s="13"/>
      <c r="D112" s="13"/>
    </row>
    <row r="113" ht="14.4" spans="2:4">
      <c r="B113" s="13"/>
      <c r="D113" s="13"/>
    </row>
    <row r="114" ht="14.4" spans="2:4">
      <c r="B114" s="13"/>
      <c r="D114" s="13"/>
    </row>
    <row r="115" ht="14.4" spans="2:4">
      <c r="B115" s="13"/>
      <c r="D115" s="13"/>
    </row>
    <row r="116" ht="14.4" spans="2:4">
      <c r="B116" s="13"/>
      <c r="D116" s="13"/>
    </row>
    <row r="117" ht="14.4" spans="2:4">
      <c r="B117" s="13"/>
      <c r="D117" s="13"/>
    </row>
    <row r="118" ht="14.4" spans="2:4">
      <c r="B118" s="13"/>
      <c r="D118" s="13"/>
    </row>
    <row r="119" ht="14.4" spans="2:4">
      <c r="B119" s="13"/>
      <c r="D119" s="13"/>
    </row>
    <row r="120" ht="14.4" spans="2:4">
      <c r="B120" s="13"/>
      <c r="D120" s="13"/>
    </row>
    <row r="121" ht="14.4" spans="2:4">
      <c r="B121" s="13"/>
      <c r="D121" s="13"/>
    </row>
    <row r="122" ht="14.4" spans="2:4">
      <c r="B122" s="13"/>
      <c r="D122" s="13"/>
    </row>
    <row r="123" ht="14.4" spans="2:4">
      <c r="B123" s="13"/>
      <c r="D123" s="13"/>
    </row>
    <row r="124" ht="14.4" spans="2:4">
      <c r="B124" s="13"/>
      <c r="D124" s="13"/>
    </row>
    <row r="125" ht="14.4" spans="2:4">
      <c r="B125" s="13"/>
      <c r="D125" s="13"/>
    </row>
    <row r="126" ht="14.4" spans="2:4">
      <c r="B126" s="13"/>
      <c r="D126" s="13"/>
    </row>
    <row r="127" ht="14.4" spans="2:4">
      <c r="B127" s="13"/>
      <c r="D127" s="13"/>
    </row>
    <row r="128" ht="14.4" spans="2:4">
      <c r="B128" s="13"/>
      <c r="D128" s="13"/>
    </row>
    <row r="129" ht="14.4" spans="2:4">
      <c r="B129" s="13"/>
      <c r="D129" s="13"/>
    </row>
    <row r="130" ht="14.4" spans="2:4">
      <c r="B130" s="13"/>
      <c r="D130" s="13"/>
    </row>
    <row r="131" ht="14.4" spans="2:4">
      <c r="B131" s="13"/>
      <c r="D131" s="13"/>
    </row>
    <row r="132" ht="14.4" spans="2:4">
      <c r="B132" s="13"/>
      <c r="D132" s="13"/>
    </row>
    <row r="133" ht="14.4" spans="2:4">
      <c r="B133" s="13"/>
      <c r="D133" s="13"/>
    </row>
    <row r="134" ht="14.4" spans="2:4">
      <c r="B134" s="13"/>
      <c r="D134" s="13"/>
    </row>
    <row r="135" ht="14.4" spans="2:4">
      <c r="B135" s="13"/>
      <c r="D135" s="13"/>
    </row>
    <row r="136" ht="14.4" spans="2:4">
      <c r="B136" s="13"/>
      <c r="D136" s="13"/>
    </row>
    <row r="137" ht="14.4" spans="2:4">
      <c r="B137" s="13"/>
      <c r="D137" s="13"/>
    </row>
    <row r="138" ht="14.4" spans="2:4">
      <c r="B138" s="13"/>
      <c r="D138" s="13"/>
    </row>
    <row r="139" ht="14.4" spans="2:4">
      <c r="B139" s="13"/>
      <c r="D139" s="13"/>
    </row>
    <row r="140" ht="14.4" spans="2:4">
      <c r="B140" s="13"/>
      <c r="D140" s="13"/>
    </row>
    <row r="141" ht="14.4" spans="2:4">
      <c r="B141" s="13"/>
      <c r="D141" s="13"/>
    </row>
    <row r="142" ht="14.4" spans="2:4">
      <c r="B142" s="13"/>
      <c r="D142" s="13"/>
    </row>
    <row r="143" ht="14.4" spans="2:4">
      <c r="B143" s="13"/>
      <c r="D143" s="13"/>
    </row>
    <row r="144" ht="14.4" spans="2:4">
      <c r="B144" s="13"/>
      <c r="D144" s="13"/>
    </row>
    <row r="145" ht="14.4" spans="2:4">
      <c r="B145" s="13"/>
      <c r="D145" s="13"/>
    </row>
    <row r="146" ht="14.4" spans="2:4">
      <c r="B146" s="13"/>
      <c r="D146" s="13"/>
    </row>
    <row r="147" ht="14.4" spans="2:4">
      <c r="B147" s="13"/>
      <c r="D147" s="13"/>
    </row>
    <row r="148" ht="14.4" spans="2:4">
      <c r="B148" s="13"/>
      <c r="D148" s="13"/>
    </row>
    <row r="149" ht="14.4" spans="2:4">
      <c r="B149" s="13"/>
      <c r="D149" s="13"/>
    </row>
    <row r="150" ht="14.4" spans="2:4">
      <c r="B150" s="13"/>
      <c r="D150" s="13"/>
    </row>
    <row r="151" ht="14.4" spans="2:4">
      <c r="B151" s="13"/>
      <c r="D151" s="13"/>
    </row>
    <row r="152" ht="14.4" spans="2:4">
      <c r="B152" s="13"/>
      <c r="D152" s="13"/>
    </row>
    <row r="153" ht="14.4" spans="2:4">
      <c r="B153" s="13"/>
      <c r="D153" s="13"/>
    </row>
    <row r="154" ht="14.4" spans="2:4">
      <c r="B154" s="13"/>
      <c r="D154" s="13"/>
    </row>
    <row r="155" ht="14.4" spans="2:4">
      <c r="B155" s="13"/>
      <c r="D155" s="13"/>
    </row>
    <row r="156" ht="14.4" spans="2:4">
      <c r="B156" s="13"/>
      <c r="D156" s="13"/>
    </row>
    <row r="157" ht="14.4" spans="2:4">
      <c r="B157" s="13"/>
      <c r="D157" s="13"/>
    </row>
    <row r="158" ht="14.4" spans="2:4">
      <c r="B158" s="13"/>
      <c r="D158" s="13"/>
    </row>
    <row r="159" ht="14.4" spans="2:4">
      <c r="B159" s="13"/>
      <c r="D159" s="13"/>
    </row>
    <row r="160" ht="14.4" spans="2:4">
      <c r="B160" s="13"/>
      <c r="D160" s="13"/>
    </row>
    <row r="161" ht="14.4" spans="2:4">
      <c r="B161" s="13"/>
      <c r="D161" s="13"/>
    </row>
    <row r="162" ht="14.4" spans="2:4">
      <c r="B162" s="13"/>
      <c r="D162" s="13"/>
    </row>
    <row r="163" ht="14.4" spans="2:4">
      <c r="B163" s="13"/>
      <c r="D163" s="13"/>
    </row>
    <row r="164" ht="14.4" spans="2:4">
      <c r="B164" s="13"/>
      <c r="D164" s="13"/>
    </row>
    <row r="165" ht="14.4" spans="2:4">
      <c r="B165" s="13"/>
      <c r="D165" s="13"/>
    </row>
    <row r="166" ht="14.4" spans="2:4">
      <c r="B166" s="13"/>
      <c r="D166" s="13"/>
    </row>
    <row r="167" ht="14.4" spans="2:4">
      <c r="B167" s="13"/>
      <c r="D167" s="13"/>
    </row>
    <row r="168" ht="14.4" spans="2:4">
      <c r="B168" s="13"/>
      <c r="D168" s="13"/>
    </row>
    <row r="169" ht="14.4" spans="2:4">
      <c r="B169" s="13"/>
      <c r="D169" s="13"/>
    </row>
    <row r="170" ht="14.4" spans="2:4">
      <c r="B170" s="13"/>
      <c r="D170" s="13"/>
    </row>
    <row r="171" ht="14.4" spans="2:4">
      <c r="B171" s="13"/>
      <c r="D171" s="13"/>
    </row>
    <row r="172" ht="14.4" spans="2:4">
      <c r="B172" s="13"/>
      <c r="D172" s="13"/>
    </row>
    <row r="173" ht="14.4" spans="2:4">
      <c r="B173" s="13"/>
      <c r="D173" s="13"/>
    </row>
    <row r="174" ht="14.4" spans="2:4">
      <c r="B174" s="13"/>
      <c r="D174" s="13"/>
    </row>
    <row r="175" ht="14.4" spans="2:4">
      <c r="B175" s="13"/>
      <c r="D175" s="13"/>
    </row>
    <row r="176" ht="14.4" spans="2:4">
      <c r="B176" s="13"/>
      <c r="D176" s="13"/>
    </row>
    <row r="177" ht="14.4" spans="2:4">
      <c r="B177" s="13"/>
      <c r="D177" s="13"/>
    </row>
    <row r="178" ht="14.4" spans="2:4">
      <c r="B178" s="13"/>
      <c r="D178" s="13"/>
    </row>
    <row r="179" ht="14.4" spans="2:4">
      <c r="B179" s="13"/>
      <c r="D179" s="13"/>
    </row>
    <row r="180" ht="14.4" spans="2:4">
      <c r="B180" s="13"/>
      <c r="D180" s="13"/>
    </row>
    <row r="181" ht="14.4" spans="2:4">
      <c r="B181" s="13"/>
      <c r="D181" s="13"/>
    </row>
    <row r="182" ht="14.4" spans="2:4">
      <c r="B182" s="13"/>
      <c r="D182" s="13"/>
    </row>
    <row r="183" ht="14.4" spans="2:4">
      <c r="B183" s="13"/>
      <c r="D183" s="13"/>
    </row>
    <row r="184" ht="14.4" spans="2:4">
      <c r="B184" s="13"/>
      <c r="D184" s="13"/>
    </row>
    <row r="185" ht="14.4" spans="2:4">
      <c r="B185" s="13"/>
      <c r="D185" s="13"/>
    </row>
    <row r="186" ht="14.4" spans="2:4">
      <c r="B186" s="13"/>
      <c r="D186" s="13"/>
    </row>
    <row r="187" ht="14.4" spans="2:4">
      <c r="B187" s="13"/>
      <c r="D187" s="13"/>
    </row>
    <row r="188" ht="14.4" spans="2:4">
      <c r="B188" s="13"/>
      <c r="D188" s="13"/>
    </row>
    <row r="189" ht="14.4" spans="2:4">
      <c r="B189" s="13"/>
      <c r="D189" s="13"/>
    </row>
    <row r="190" ht="14.4" spans="2:4">
      <c r="B190" s="13"/>
      <c r="D190" s="13"/>
    </row>
    <row r="191" ht="14.4" spans="2:4">
      <c r="B191" s="13"/>
      <c r="D191" s="13"/>
    </row>
    <row r="192" ht="14.4" spans="2:4">
      <c r="B192" s="13"/>
      <c r="D192" s="13"/>
    </row>
    <row r="193" ht="14.4" spans="2:4">
      <c r="B193" s="13"/>
      <c r="D193" s="13"/>
    </row>
    <row r="194" ht="14.4" spans="2:4">
      <c r="B194" s="13"/>
      <c r="D194" s="13"/>
    </row>
    <row r="195" ht="14.4" spans="2:4">
      <c r="B195" s="13"/>
      <c r="D195" s="13"/>
    </row>
    <row r="196" ht="14.4" spans="2:4">
      <c r="B196" s="13"/>
      <c r="D196" s="13"/>
    </row>
    <row r="197" ht="14.4" spans="2:4">
      <c r="B197" s="13"/>
      <c r="D197" s="13"/>
    </row>
    <row r="198" ht="14.4" spans="2:4">
      <c r="B198" s="13"/>
      <c r="D198" s="13"/>
    </row>
    <row r="199" ht="14.4" spans="2:4">
      <c r="B199" s="13"/>
      <c r="D199" s="13"/>
    </row>
    <row r="200" ht="14.4" spans="2:4">
      <c r="B200" s="13"/>
      <c r="D200" s="13"/>
    </row>
    <row r="201" ht="14.4" spans="2:4">
      <c r="B201" s="13"/>
      <c r="D201" s="13"/>
    </row>
    <row r="202" ht="14.4" spans="2:4">
      <c r="B202" s="13"/>
      <c r="D202" s="13"/>
    </row>
    <row r="203" ht="14.4" spans="2:4">
      <c r="B203" s="13"/>
      <c r="D203" s="13"/>
    </row>
    <row r="204" ht="14.4" spans="2:4">
      <c r="B204" s="13"/>
      <c r="D204" s="13"/>
    </row>
    <row r="205" ht="14.4" spans="2:4">
      <c r="B205" s="13"/>
      <c r="D205" s="13"/>
    </row>
    <row r="206" ht="14.4" spans="2:4">
      <c r="B206" s="13"/>
      <c r="D206" s="13"/>
    </row>
    <row r="207" ht="14.4" spans="2:4">
      <c r="B207" s="13"/>
      <c r="D207" s="13"/>
    </row>
    <row r="208" ht="14.4" spans="2:4">
      <c r="B208" s="13"/>
      <c r="D208" s="13"/>
    </row>
    <row r="209" ht="14.4" spans="2:4">
      <c r="B209" s="13"/>
      <c r="D209" s="13"/>
    </row>
    <row r="210" ht="14.4" spans="2:4">
      <c r="B210" s="13"/>
      <c r="D210" s="13"/>
    </row>
    <row r="211" ht="14.4" spans="2:4">
      <c r="B211" s="13"/>
      <c r="D211" s="13"/>
    </row>
    <row r="212" ht="14.4" spans="2:4">
      <c r="B212" s="13"/>
      <c r="D212" s="13"/>
    </row>
    <row r="213" ht="14.4" spans="2:4">
      <c r="B213" s="13"/>
      <c r="D213" s="13"/>
    </row>
    <row r="214" ht="14.4" spans="2:4">
      <c r="B214" s="13"/>
      <c r="D214" s="13"/>
    </row>
    <row r="215" ht="14.4" spans="2:4">
      <c r="B215" s="13"/>
      <c r="D215" s="13"/>
    </row>
    <row r="216" ht="14.4" spans="2:4">
      <c r="B216" s="13"/>
      <c r="D216" s="13"/>
    </row>
    <row r="217" ht="14.4" spans="2:4">
      <c r="B217" s="13"/>
      <c r="D217" s="13"/>
    </row>
    <row r="218" ht="14.4" spans="2:4">
      <c r="B218" s="13"/>
      <c r="D218" s="13"/>
    </row>
    <row r="219" ht="14.4" spans="2:4">
      <c r="B219" s="13"/>
      <c r="D219" s="13"/>
    </row>
    <row r="220" ht="14.4" spans="2:4">
      <c r="B220" s="13"/>
      <c r="D220" s="13"/>
    </row>
    <row r="221" ht="14.4" spans="2:4">
      <c r="B221" s="13"/>
      <c r="D221" s="13"/>
    </row>
    <row r="222" ht="14.4" spans="2:4">
      <c r="B222" s="13"/>
      <c r="D222" s="13"/>
    </row>
    <row r="223" ht="14.4" spans="2:4">
      <c r="B223" s="13"/>
      <c r="D223" s="13"/>
    </row>
    <row r="224" ht="14.4" spans="2:4">
      <c r="B224" s="13"/>
      <c r="D224" s="13"/>
    </row>
    <row r="225" ht="14.4" spans="2:4">
      <c r="B225" s="13"/>
      <c r="D225" s="13"/>
    </row>
    <row r="226" ht="14.4" spans="2:4">
      <c r="B226" s="13"/>
      <c r="D226" s="13"/>
    </row>
    <row r="227" ht="14.4" spans="2:4">
      <c r="B227" s="13"/>
      <c r="D227" s="13"/>
    </row>
    <row r="228" ht="14.4" spans="2:4">
      <c r="B228" s="13"/>
      <c r="D228" s="13"/>
    </row>
    <row r="229" ht="14.4" spans="2:4">
      <c r="B229" s="13"/>
      <c r="D229" s="13"/>
    </row>
    <row r="230" ht="14.4" spans="2:4">
      <c r="B230" s="13"/>
      <c r="D230" s="13"/>
    </row>
    <row r="231" ht="14.4" spans="2:4">
      <c r="B231" s="13"/>
      <c r="D231" s="13"/>
    </row>
    <row r="232" ht="14.4" spans="2:4">
      <c r="B232" s="13"/>
      <c r="D232" s="13"/>
    </row>
    <row r="233" ht="14.4" spans="2:4">
      <c r="B233" s="13"/>
      <c r="D233" s="13"/>
    </row>
    <row r="234" ht="14.4" spans="2:4">
      <c r="B234" s="13"/>
      <c r="D234" s="13"/>
    </row>
    <row r="235" ht="14.4" spans="2:4">
      <c r="B235" s="13"/>
      <c r="D235" s="13"/>
    </row>
    <row r="236" ht="14.4" spans="2:4">
      <c r="B236" s="13"/>
      <c r="D236" s="13"/>
    </row>
    <row r="237" ht="14.4" spans="2:4">
      <c r="B237" s="13"/>
      <c r="D237" s="13"/>
    </row>
    <row r="238" ht="14.4" spans="2:4">
      <c r="B238" s="13"/>
      <c r="D238" s="13"/>
    </row>
    <row r="239" ht="14.4" spans="2:4">
      <c r="B239" s="13"/>
      <c r="D239" s="13"/>
    </row>
    <row r="240" ht="14.4" spans="2:4">
      <c r="B240" s="13"/>
      <c r="D240" s="13"/>
    </row>
    <row r="241" ht="14.4" spans="2:4">
      <c r="B241" s="13"/>
      <c r="D241" s="13"/>
    </row>
    <row r="242" ht="14.4" spans="2:4">
      <c r="B242" s="13"/>
      <c r="D242" s="13"/>
    </row>
    <row r="243" ht="14.4" spans="2:4">
      <c r="B243" s="13"/>
      <c r="D243" s="13"/>
    </row>
    <row r="244" ht="14.4" spans="2:4">
      <c r="B244" s="13"/>
      <c r="D244" s="13"/>
    </row>
    <row r="245" ht="14.4" spans="2:4">
      <c r="B245" s="13"/>
      <c r="D245" s="13"/>
    </row>
    <row r="246" ht="14.4" spans="2:4">
      <c r="B246" s="13"/>
      <c r="D246" s="13"/>
    </row>
    <row r="247" ht="14.4" spans="2:4">
      <c r="B247" s="13"/>
      <c r="D247" s="13"/>
    </row>
    <row r="248" ht="14.4" spans="2:4">
      <c r="B248" s="13"/>
      <c r="D248" s="13"/>
    </row>
    <row r="249" ht="14.4" spans="2:4">
      <c r="B249" s="13"/>
      <c r="D249" s="13"/>
    </row>
    <row r="250" ht="14.4" spans="2:4">
      <c r="B250" s="13"/>
      <c r="D250" s="13"/>
    </row>
    <row r="251" ht="14.4" spans="2:4">
      <c r="B251" s="13"/>
      <c r="D251" s="13"/>
    </row>
    <row r="252" ht="14.4" spans="2:4">
      <c r="B252" s="13"/>
      <c r="D252" s="13"/>
    </row>
    <row r="253" ht="14.4" spans="2:4">
      <c r="B253" s="13"/>
      <c r="D253" s="13"/>
    </row>
    <row r="254" ht="14.4" spans="2:4">
      <c r="B254" s="13"/>
      <c r="D254" s="13"/>
    </row>
    <row r="255" ht="14.4" spans="2:4">
      <c r="B255" s="13"/>
      <c r="D255" s="13"/>
    </row>
    <row r="256" ht="14.4" spans="2:4">
      <c r="B256" s="13"/>
      <c r="D256" s="13"/>
    </row>
    <row r="257" ht="14.4" spans="2:4">
      <c r="B257" s="13"/>
      <c r="D257" s="13"/>
    </row>
    <row r="258" ht="14.4" spans="2:4">
      <c r="B258" s="13"/>
      <c r="D258" s="13"/>
    </row>
    <row r="259" ht="14.4" spans="2:4">
      <c r="B259" s="13"/>
      <c r="D259" s="13"/>
    </row>
    <row r="260" ht="14.4" spans="2:4">
      <c r="B260" s="13"/>
      <c r="D260" s="13"/>
    </row>
    <row r="261" ht="14.4" spans="2:4">
      <c r="B261" s="13"/>
      <c r="D261" s="13"/>
    </row>
    <row r="262" ht="14.4" spans="2:4">
      <c r="B262" s="13"/>
      <c r="D262" s="13"/>
    </row>
    <row r="263" ht="14.4" spans="2:4">
      <c r="B263" s="13"/>
      <c r="D263" s="13"/>
    </row>
    <row r="264" ht="14.4" spans="2:4">
      <c r="B264" s="13"/>
      <c r="D264" s="13"/>
    </row>
    <row r="265" ht="14.4" spans="2:4">
      <c r="B265" s="13"/>
      <c r="D265" s="13"/>
    </row>
    <row r="266" ht="14.4" spans="2:4">
      <c r="B266" s="13"/>
      <c r="D266" s="13"/>
    </row>
    <row r="267" ht="14.4" spans="2:4">
      <c r="B267" s="13"/>
      <c r="D267" s="13"/>
    </row>
    <row r="268" ht="14.4" spans="2:4">
      <c r="B268" s="13"/>
      <c r="D268" s="13"/>
    </row>
    <row r="269" ht="14.4" spans="2:4">
      <c r="B269" s="13"/>
      <c r="D269" s="13"/>
    </row>
    <row r="270" ht="14.4" spans="2:4">
      <c r="B270" s="13"/>
      <c r="D270" s="13"/>
    </row>
    <row r="271" ht="14.4" spans="2:4">
      <c r="B271" s="13"/>
      <c r="D271" s="13"/>
    </row>
    <row r="272" ht="14.4" spans="2:4">
      <c r="B272" s="13"/>
      <c r="D272" s="13"/>
    </row>
    <row r="273" ht="14.4" spans="2:4">
      <c r="B273" s="13"/>
      <c r="D273" s="13"/>
    </row>
    <row r="274" ht="14.4" spans="2:4">
      <c r="B274" s="13"/>
      <c r="D274" s="13"/>
    </row>
    <row r="275" ht="14.4" spans="2:4">
      <c r="B275" s="13"/>
      <c r="D275" s="13"/>
    </row>
    <row r="276" ht="14.4" spans="2:4">
      <c r="B276" s="13"/>
      <c r="D276" s="13"/>
    </row>
    <row r="277" ht="14.4" spans="2:4">
      <c r="B277" s="13"/>
      <c r="D277" s="13"/>
    </row>
    <row r="278" ht="14.4" spans="2:4">
      <c r="B278" s="13"/>
      <c r="D278" s="13"/>
    </row>
    <row r="279" ht="14.4" spans="2:4">
      <c r="B279" s="13"/>
      <c r="D279" s="13"/>
    </row>
    <row r="280" ht="14.4" spans="2:4">
      <c r="B280" s="13"/>
      <c r="D280" s="13"/>
    </row>
    <row r="281" ht="14.4" spans="2:4">
      <c r="B281" s="13"/>
      <c r="D281" s="13"/>
    </row>
    <row r="282" ht="14.4" spans="2:4">
      <c r="B282" s="13"/>
      <c r="D282" s="13"/>
    </row>
    <row r="283" ht="14.4" spans="2:4">
      <c r="B283" s="13"/>
      <c r="D283" s="13"/>
    </row>
    <row r="284" ht="14.4" spans="2:4">
      <c r="B284" s="13"/>
      <c r="D284" s="13"/>
    </row>
    <row r="285" ht="14.4" spans="2:4">
      <c r="B285" s="13"/>
      <c r="D285" s="13"/>
    </row>
    <row r="286" ht="14.4" spans="2:4">
      <c r="B286" s="13"/>
      <c r="D286" s="13"/>
    </row>
    <row r="287" ht="14.4" spans="2:4">
      <c r="B287" s="13"/>
      <c r="D287" s="13"/>
    </row>
    <row r="288" ht="14.4" spans="2:4">
      <c r="B288" s="13"/>
      <c r="D288" s="13"/>
    </row>
    <row r="289" ht="14.4" spans="2:4">
      <c r="B289" s="13"/>
      <c r="D289" s="13"/>
    </row>
    <row r="290" ht="14.4" spans="2:4">
      <c r="B290" s="13"/>
      <c r="D290" s="13"/>
    </row>
    <row r="291" ht="14.4" spans="2:4">
      <c r="B291" s="13"/>
      <c r="D291" s="13"/>
    </row>
    <row r="292" ht="14.4" spans="2:4">
      <c r="B292" s="13"/>
      <c r="D292" s="13"/>
    </row>
    <row r="293" ht="14.4" spans="2:4">
      <c r="B293" s="13"/>
      <c r="D293" s="13"/>
    </row>
    <row r="294" ht="14.4" spans="2:4">
      <c r="B294" s="13"/>
      <c r="D294" s="13"/>
    </row>
    <row r="295" ht="14.4" spans="2:4">
      <c r="B295" s="13"/>
      <c r="D295" s="13"/>
    </row>
    <row r="296" ht="14.4" spans="2:4">
      <c r="B296" s="13"/>
      <c r="D296" s="13"/>
    </row>
    <row r="297" ht="14.4" spans="2:4">
      <c r="B297" s="13"/>
      <c r="D297" s="13"/>
    </row>
    <row r="298" ht="14.4" spans="2:4">
      <c r="B298" s="13"/>
      <c r="D298" s="13"/>
    </row>
    <row r="299" ht="14.4" spans="2:4">
      <c r="B299" s="13"/>
      <c r="D299" s="13"/>
    </row>
    <row r="300" ht="14.4" spans="2:4">
      <c r="B300" s="13"/>
      <c r="D300" s="13"/>
    </row>
    <row r="301" ht="14.4" spans="2:4">
      <c r="B301" s="13"/>
      <c r="D301" s="13"/>
    </row>
    <row r="302" ht="14.4" spans="2:4">
      <c r="B302" s="13"/>
      <c r="D302" s="13"/>
    </row>
    <row r="303" ht="14.4" spans="2:4">
      <c r="B303" s="13"/>
      <c r="D303" s="13"/>
    </row>
    <row r="304" ht="14.4" spans="2:4">
      <c r="B304" s="13"/>
      <c r="D304" s="13"/>
    </row>
    <row r="305" ht="14.4" spans="2:4">
      <c r="B305" s="13"/>
      <c r="D305" s="13"/>
    </row>
    <row r="306" ht="14.4" spans="2:4">
      <c r="B306" s="13"/>
      <c r="D306" s="13"/>
    </row>
    <row r="307" ht="14.4" spans="2:4">
      <c r="B307" s="13"/>
      <c r="D307" s="13"/>
    </row>
    <row r="308" ht="14.4" spans="2:4">
      <c r="B308" s="13"/>
      <c r="D308" s="13"/>
    </row>
    <row r="309" ht="14.4" spans="2:4">
      <c r="B309" s="13"/>
      <c r="D309" s="13"/>
    </row>
    <row r="310" ht="14.4" spans="2:4">
      <c r="B310" s="13"/>
      <c r="D310" s="13"/>
    </row>
    <row r="311" ht="14.4" spans="2:4">
      <c r="B311" s="13"/>
      <c r="D311" s="13"/>
    </row>
    <row r="312" ht="14.4" spans="2:4">
      <c r="B312" s="13"/>
      <c r="D312" s="13"/>
    </row>
    <row r="313" ht="14.4" spans="2:4">
      <c r="B313" s="13"/>
      <c r="D313" s="13"/>
    </row>
    <row r="314" ht="14.4" spans="2:4">
      <c r="B314" s="13"/>
      <c r="D314" s="13"/>
    </row>
    <row r="315" ht="14.4" spans="2:4">
      <c r="B315" s="13"/>
      <c r="D315" s="13"/>
    </row>
    <row r="316" ht="14.4" spans="2:4">
      <c r="B316" s="13"/>
      <c r="D316" s="13"/>
    </row>
    <row r="317" ht="14.4" spans="2:4">
      <c r="B317" s="13"/>
      <c r="D317" s="13"/>
    </row>
    <row r="318" ht="14.4" spans="2:4">
      <c r="B318" s="13"/>
      <c r="D318" s="13"/>
    </row>
    <row r="319" ht="14.4" spans="2:4">
      <c r="B319" s="13"/>
      <c r="D319" s="13"/>
    </row>
    <row r="320" ht="14.4" spans="2:4">
      <c r="B320" s="13"/>
      <c r="D320" s="13"/>
    </row>
    <row r="321" ht="14.4" spans="2:4">
      <c r="B321" s="13"/>
      <c r="D321" s="13"/>
    </row>
    <row r="322" ht="14.4" spans="2:4">
      <c r="B322" s="13"/>
      <c r="D322" s="13"/>
    </row>
    <row r="323" ht="14.4" spans="2:4">
      <c r="B323" s="13"/>
      <c r="D323" s="13"/>
    </row>
    <row r="324" ht="14.4" spans="2:4">
      <c r="B324" s="13"/>
      <c r="D324" s="13"/>
    </row>
    <row r="325" ht="14.4" spans="2:4">
      <c r="B325" s="13"/>
      <c r="D325" s="13"/>
    </row>
    <row r="326" ht="14.4" spans="2:4">
      <c r="B326" s="13"/>
      <c r="D326" s="13"/>
    </row>
    <row r="327" ht="14.4" spans="2:4">
      <c r="B327" s="13"/>
      <c r="D327" s="13"/>
    </row>
    <row r="328" ht="14.4" spans="2:4">
      <c r="B328" s="13"/>
      <c r="D328" s="13"/>
    </row>
    <row r="329" ht="14.4" spans="2:4">
      <c r="B329" s="13"/>
      <c r="D329" s="13"/>
    </row>
    <row r="330" ht="14.4" spans="2:4">
      <c r="B330" s="13"/>
      <c r="D330" s="13"/>
    </row>
    <row r="331" ht="14.4" spans="2:4">
      <c r="B331" s="13"/>
      <c r="D331" s="13"/>
    </row>
    <row r="332" ht="14.4" spans="2:4">
      <c r="B332" s="13"/>
      <c r="D332" s="13"/>
    </row>
    <row r="333" ht="14.4" spans="2:4">
      <c r="B333" s="13"/>
      <c r="D333" s="13"/>
    </row>
    <row r="334" ht="14.4" spans="2:4">
      <c r="B334" s="13"/>
      <c r="D334" s="13"/>
    </row>
    <row r="335" ht="14.4" spans="2:4">
      <c r="B335" s="13"/>
      <c r="D335" s="13"/>
    </row>
    <row r="336" ht="14.4" spans="2:4">
      <c r="B336" s="13"/>
      <c r="D336" s="13"/>
    </row>
    <row r="337" ht="14.4" spans="2:4">
      <c r="B337" s="13"/>
      <c r="D337" s="13"/>
    </row>
    <row r="338" ht="14.4" spans="2:4">
      <c r="B338" s="13"/>
      <c r="D338" s="13"/>
    </row>
    <row r="339" ht="14.4" spans="2:4">
      <c r="B339" s="13"/>
      <c r="D339" s="13"/>
    </row>
    <row r="340" ht="14.4" spans="2:4">
      <c r="B340" s="13"/>
      <c r="D340" s="13"/>
    </row>
    <row r="341" ht="14.4" spans="2:4">
      <c r="B341" s="13"/>
      <c r="D341" s="13"/>
    </row>
    <row r="342" ht="14.4" spans="2:4">
      <c r="B342" s="13"/>
      <c r="D342" s="13"/>
    </row>
    <row r="343" ht="14.4" spans="2:4">
      <c r="B343" s="13"/>
      <c r="D343" s="13"/>
    </row>
    <row r="344" ht="14.4" spans="2:4">
      <c r="B344" s="13"/>
      <c r="D344" s="13"/>
    </row>
    <row r="345" ht="14.4" spans="2:4">
      <c r="B345" s="13"/>
      <c r="D345" s="13"/>
    </row>
    <row r="346" ht="14.4" spans="2:4">
      <c r="B346" s="13"/>
      <c r="D346" s="13"/>
    </row>
    <row r="347" ht="14.4" spans="2:4">
      <c r="B347" s="13"/>
      <c r="D347" s="13"/>
    </row>
    <row r="348" ht="14.4" spans="2:4">
      <c r="B348" s="13"/>
      <c r="D348" s="13"/>
    </row>
    <row r="349" ht="14.4" spans="2:4">
      <c r="B349" s="13"/>
      <c r="D349" s="13"/>
    </row>
    <row r="350" ht="14.4" spans="2:4">
      <c r="B350" s="13"/>
      <c r="D350" s="13"/>
    </row>
    <row r="351" ht="14.4" spans="2:4">
      <c r="B351" s="13"/>
      <c r="D351" s="13"/>
    </row>
    <row r="352" ht="14.4" spans="2:4">
      <c r="B352" s="13"/>
      <c r="D352" s="13"/>
    </row>
    <row r="353" ht="14.4" spans="2:4">
      <c r="B353" s="13"/>
      <c r="D353" s="13"/>
    </row>
    <row r="354" ht="14.4" spans="2:4">
      <c r="B354" s="13"/>
      <c r="D354" s="13"/>
    </row>
    <row r="355" ht="14.4" spans="2:4">
      <c r="B355" s="13"/>
      <c r="D355" s="13"/>
    </row>
    <row r="356" ht="14.4" spans="2:4">
      <c r="B356" s="13"/>
      <c r="D356" s="13"/>
    </row>
    <row r="357" ht="14.4" spans="2:4">
      <c r="B357" s="13"/>
      <c r="D357" s="13"/>
    </row>
    <row r="358" ht="14.4" spans="2:4">
      <c r="B358" s="13"/>
      <c r="D358" s="13"/>
    </row>
    <row r="359" ht="14.4" spans="2:4">
      <c r="B359" s="13"/>
      <c r="D359" s="13"/>
    </row>
    <row r="360" ht="14.4" spans="2:4">
      <c r="B360" s="13"/>
      <c r="D360" s="13"/>
    </row>
    <row r="361" ht="14.4" spans="2:4">
      <c r="B361" s="13"/>
      <c r="D361" s="13"/>
    </row>
    <row r="362" ht="14.4" spans="2:4">
      <c r="B362" s="13"/>
      <c r="D362" s="13"/>
    </row>
    <row r="363" ht="14.4" spans="2:4">
      <c r="B363" s="13"/>
      <c r="D363" s="13"/>
    </row>
    <row r="364" ht="14.4" spans="2:4">
      <c r="B364" s="13"/>
      <c r="D364" s="13"/>
    </row>
    <row r="365" ht="14.4" spans="2:4">
      <c r="B365" s="13"/>
      <c r="D365" s="13"/>
    </row>
    <row r="366" ht="14.4" spans="2:4">
      <c r="B366" s="13"/>
      <c r="D366" s="13"/>
    </row>
    <row r="367" ht="14.4" spans="2:4">
      <c r="B367" s="13"/>
      <c r="D367" s="13"/>
    </row>
    <row r="368" ht="14.4" spans="2:4">
      <c r="B368" s="13"/>
      <c r="D368" s="13"/>
    </row>
    <row r="369" ht="14.4" spans="2:4">
      <c r="B369" s="13"/>
      <c r="D369" s="13"/>
    </row>
    <row r="370" ht="14.4" spans="2:4">
      <c r="B370" s="13"/>
      <c r="D370" s="13"/>
    </row>
    <row r="371" ht="14.4" spans="2:4">
      <c r="B371" s="13"/>
      <c r="D371" s="13"/>
    </row>
    <row r="372" ht="14.4" spans="2:4">
      <c r="B372" s="13"/>
      <c r="D372" s="13"/>
    </row>
    <row r="373" ht="14.4" spans="2:4">
      <c r="B373" s="13"/>
      <c r="D373" s="13"/>
    </row>
    <row r="374" ht="14.4" spans="2:4">
      <c r="B374" s="13"/>
      <c r="D374" s="13"/>
    </row>
    <row r="375" ht="14.4" spans="2:4">
      <c r="B375" s="13"/>
      <c r="D375" s="13"/>
    </row>
    <row r="376" ht="14.4" spans="2:4">
      <c r="B376" s="13"/>
      <c r="D376" s="13"/>
    </row>
    <row r="377" ht="14.4" spans="2:4">
      <c r="B377" s="13"/>
      <c r="D377" s="13"/>
    </row>
    <row r="378" ht="14.4" spans="2:4">
      <c r="B378" s="13"/>
      <c r="D378" s="13"/>
    </row>
    <row r="379" ht="14.4" spans="2:4">
      <c r="B379" s="13"/>
      <c r="D379" s="13"/>
    </row>
    <row r="380" ht="14.4" spans="2:4">
      <c r="B380" s="13"/>
      <c r="D380" s="13"/>
    </row>
    <row r="381" ht="14.4" spans="2:4">
      <c r="B381" s="13"/>
      <c r="D381" s="13"/>
    </row>
    <row r="382" ht="14.4" spans="2:4">
      <c r="B382" s="13"/>
      <c r="D382" s="13"/>
    </row>
    <row r="383" ht="14.4" spans="2:4">
      <c r="B383" s="13"/>
      <c r="D383" s="13"/>
    </row>
    <row r="384" ht="14.4" spans="2:4">
      <c r="B384" s="13"/>
      <c r="D384" s="13"/>
    </row>
    <row r="385" ht="14.4" spans="2:4">
      <c r="B385" s="13"/>
      <c r="D385" s="13"/>
    </row>
    <row r="386" ht="14.4" spans="2:4">
      <c r="B386" s="13"/>
      <c r="D386" s="13"/>
    </row>
    <row r="387" ht="14.4" spans="2:4">
      <c r="B387" s="13"/>
      <c r="D387" s="13"/>
    </row>
    <row r="388" ht="14.4" spans="2:4">
      <c r="B388" s="13"/>
      <c r="D388" s="13"/>
    </row>
    <row r="389" ht="14.4" spans="2:4">
      <c r="B389" s="13"/>
      <c r="D389" s="13"/>
    </row>
    <row r="390" ht="14.4" spans="2:4">
      <c r="B390" s="13"/>
      <c r="D390" s="13"/>
    </row>
    <row r="391" ht="14.4" spans="2:4">
      <c r="B391" s="13"/>
      <c r="D391" s="13"/>
    </row>
    <row r="392" ht="14.4" spans="2:4">
      <c r="B392" s="13"/>
      <c r="D392" s="13"/>
    </row>
    <row r="393" ht="14.4" spans="2:4">
      <c r="B393" s="13"/>
      <c r="D393" s="13"/>
    </row>
    <row r="394" ht="14.4" spans="2:4">
      <c r="B394" s="13"/>
      <c r="D394" s="13"/>
    </row>
    <row r="395" ht="14.4" spans="2:4">
      <c r="B395" s="13"/>
      <c r="D395" s="13"/>
    </row>
    <row r="396" ht="14.4" spans="2:4">
      <c r="B396" s="13"/>
      <c r="D396" s="13"/>
    </row>
    <row r="397" ht="14.4" spans="2:4">
      <c r="B397" s="13"/>
      <c r="D397" s="13"/>
    </row>
    <row r="398" ht="14.4" spans="2:4">
      <c r="B398" s="13"/>
      <c r="D398" s="13"/>
    </row>
    <row r="399" ht="14.4" spans="2:4">
      <c r="B399" s="13"/>
      <c r="D399" s="13"/>
    </row>
    <row r="400" ht="14.4" spans="2:4">
      <c r="B400" s="13"/>
      <c r="D400" s="13"/>
    </row>
    <row r="401" ht="14.4" spans="2:4">
      <c r="B401" s="13"/>
      <c r="D401" s="13"/>
    </row>
    <row r="402" ht="14.4" spans="2:4">
      <c r="B402" s="13"/>
      <c r="D402" s="13"/>
    </row>
    <row r="403" ht="14.4" spans="2:4">
      <c r="B403" s="13"/>
      <c r="D403" s="13"/>
    </row>
    <row r="404" ht="14.4" spans="2:4">
      <c r="B404" s="13"/>
      <c r="D404" s="13"/>
    </row>
    <row r="405" ht="14.4" spans="2:4">
      <c r="B405" s="13"/>
      <c r="D405" s="13"/>
    </row>
    <row r="406" ht="14.4" spans="2:4">
      <c r="B406" s="13"/>
      <c r="D406" s="13"/>
    </row>
    <row r="407" ht="14.4" spans="2:4">
      <c r="B407" s="13"/>
      <c r="D407" s="13"/>
    </row>
    <row r="408" ht="14.4" spans="2:4">
      <c r="B408" s="13"/>
      <c r="D408" s="13"/>
    </row>
    <row r="409" ht="14.4" spans="2:4">
      <c r="B409" s="13"/>
      <c r="D409" s="13"/>
    </row>
    <row r="410" ht="14.4" spans="2:4">
      <c r="B410" s="13"/>
      <c r="D410" s="13"/>
    </row>
    <row r="411" ht="14.4" spans="2:4">
      <c r="B411" s="13"/>
      <c r="D411" s="13"/>
    </row>
    <row r="412" ht="14.4" spans="2:4">
      <c r="B412" s="13"/>
      <c r="D412" s="13"/>
    </row>
    <row r="413" ht="14.4" spans="2:4">
      <c r="B413" s="13"/>
      <c r="D413" s="13"/>
    </row>
    <row r="414" ht="14.4" spans="2:4">
      <c r="B414" s="13"/>
      <c r="D414" s="13"/>
    </row>
    <row r="415" ht="14.4" spans="2:4">
      <c r="B415" s="13"/>
      <c r="D415" s="13"/>
    </row>
    <row r="416" ht="14.4" spans="2:4">
      <c r="B416" s="13"/>
      <c r="D416" s="13"/>
    </row>
    <row r="417" ht="14.4" spans="2:4">
      <c r="B417" s="13"/>
      <c r="D417" s="13"/>
    </row>
    <row r="418" ht="14.4" spans="2:4">
      <c r="B418" s="13"/>
      <c r="D418" s="13"/>
    </row>
    <row r="419" ht="14.4" spans="2:4">
      <c r="B419" s="13"/>
      <c r="D419" s="13"/>
    </row>
    <row r="420" ht="14.4" spans="2:4">
      <c r="B420" s="13"/>
      <c r="D420" s="13"/>
    </row>
    <row r="421" ht="14.4" spans="2:4">
      <c r="B421" s="13"/>
      <c r="D421" s="13"/>
    </row>
    <row r="422" ht="14.4" spans="2:4">
      <c r="B422" s="13"/>
      <c r="D422" s="13"/>
    </row>
    <row r="423" ht="14.4" spans="2:4">
      <c r="B423" s="13"/>
      <c r="D423" s="13"/>
    </row>
    <row r="424" ht="14.4" spans="2:4">
      <c r="B424" s="13"/>
      <c r="D424" s="13"/>
    </row>
    <row r="425" ht="14.4" spans="2:4">
      <c r="B425" s="13"/>
      <c r="D425" s="13"/>
    </row>
    <row r="426" ht="14.4" spans="2:4">
      <c r="B426" s="13"/>
      <c r="D426" s="13"/>
    </row>
    <row r="427" ht="14.4" spans="2:4">
      <c r="B427" s="13"/>
      <c r="D427" s="13"/>
    </row>
    <row r="428" ht="14.4" spans="2:4">
      <c r="B428" s="13"/>
      <c r="D428" s="13"/>
    </row>
    <row r="429" ht="14.4" spans="2:4">
      <c r="B429" s="13"/>
      <c r="D429" s="13"/>
    </row>
    <row r="430" ht="14.4" spans="2:4">
      <c r="B430" s="13"/>
      <c r="D430" s="13"/>
    </row>
    <row r="431" ht="14.4" spans="2:4">
      <c r="B431" s="13"/>
      <c r="D431" s="13"/>
    </row>
    <row r="432" ht="14.4" spans="2:4">
      <c r="B432" s="13"/>
      <c r="D432" s="13"/>
    </row>
    <row r="433" ht="14.4" spans="2:4">
      <c r="B433" s="13"/>
      <c r="D433" s="13"/>
    </row>
    <row r="434" ht="14.4" spans="2:4">
      <c r="B434" s="13"/>
      <c r="D434" s="13"/>
    </row>
    <row r="435" ht="14.4" spans="2:4">
      <c r="B435" s="13"/>
      <c r="D435" s="13"/>
    </row>
    <row r="436" ht="14.4" spans="2:4">
      <c r="B436" s="13"/>
      <c r="D436" s="13"/>
    </row>
    <row r="437" ht="14.4" spans="2:4">
      <c r="B437" s="13"/>
      <c r="D437" s="13"/>
    </row>
    <row r="438" ht="14.4" spans="2:4">
      <c r="B438" s="13"/>
      <c r="D438" s="13"/>
    </row>
    <row r="439" ht="14.4" spans="2:4">
      <c r="B439" s="13"/>
      <c r="D439" s="13"/>
    </row>
    <row r="440" ht="14.4" spans="2:2">
      <c r="B440" s="13"/>
    </row>
    <row r="441" ht="14.4" spans="2:2">
      <c r="B441" s="13"/>
    </row>
    <row r="442" ht="14.4" spans="2:2">
      <c r="B442" s="13"/>
    </row>
    <row r="443" ht="14.4" spans="2:2">
      <c r="B443" s="13"/>
    </row>
  </sheetData>
  <mergeCells count="1">
    <mergeCell ref="I3:M3"/>
  </mergeCells>
  <conditionalFormatting sqref="G5:H15">
    <cfRule type="iconSet" priority="1">
      <iconSet iconSet="3TrafficLights1"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>
      <formula1>$B$20:$B$22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7"/>
  <sheetViews>
    <sheetView zoomScale="99" zoomScaleNormal="99" workbookViewId="0">
      <selection activeCell="F5" sqref="F5:J5"/>
    </sheetView>
  </sheetViews>
  <sheetFormatPr defaultColWidth="8.88888888888889" defaultRowHeight="13.2"/>
  <cols>
    <col min="1" max="1" width="2.02777777777778" style="31" customWidth="1"/>
    <col min="2" max="2" width="21" style="31" customWidth="1"/>
    <col min="3" max="10" width="9.22222222222222" style="31" customWidth="1"/>
    <col min="11" max="16384" width="8.88888888888889" style="31"/>
  </cols>
  <sheetData>
    <row r="1" ht="13.95" spans="18:18">
      <c r="R1" s="30"/>
    </row>
    <row r="2" ht="17.4" spans="2:2">
      <c r="B2" s="23" t="s">
        <v>47</v>
      </c>
    </row>
    <row r="3" customHeight="1" spans="2:2">
      <c r="B3" s="23"/>
    </row>
    <row r="4" customHeight="1" spans="2:2">
      <c r="B4" s="23"/>
    </row>
    <row r="5" customHeight="1" spans="2:10">
      <c r="B5" s="23"/>
      <c r="F5" s="24" t="s">
        <v>7</v>
      </c>
      <c r="G5" s="24"/>
      <c r="H5" s="24"/>
      <c r="I5" s="24"/>
      <c r="J5" s="24"/>
    </row>
    <row r="6" customHeight="1" spans="2:10">
      <c r="B6" s="25" t="s">
        <v>30</v>
      </c>
      <c r="C6" s="3">
        <v>42004</v>
      </c>
      <c r="D6" s="3">
        <v>42369</v>
      </c>
      <c r="E6" s="3">
        <v>42735</v>
      </c>
      <c r="F6" s="3">
        <f>E6+365</f>
        <v>43100</v>
      </c>
      <c r="G6" s="3">
        <f>F6+365</f>
        <v>43465</v>
      </c>
      <c r="H6" s="3">
        <f>G6+365</f>
        <v>43830</v>
      </c>
      <c r="I6" s="3">
        <f>H6+366</f>
        <v>44196</v>
      </c>
      <c r="J6" s="3">
        <f>I6+365</f>
        <v>44561</v>
      </c>
    </row>
    <row r="7" spans="2:10">
      <c r="B7" s="31" t="s">
        <v>48</v>
      </c>
      <c r="C7" s="31" cm="1">
        <f t="array" ref="C7">INDEX('BS 2014'!$1:$1048576,MATCH($B7,'BS 2014'!$A:$A,0),MATCH(C$6,'BS 2014'!$1:$1,0))</f>
        <v>143.9</v>
      </c>
      <c r="D7" s="31" cm="1">
        <f t="array" ref="D7">INDEX('BS 2015'!$1:$1048576,MATCH($B7,'BS 2015'!$A:$A,0),MATCH(D$6,'BS 2015'!$1:$1,0))</f>
        <v>154.8</v>
      </c>
      <c r="E7" s="31" cm="1">
        <f t="array" ref="E7">INDEX('BS 2016'!$1:$1048576,MATCH($B7,'BS 2016'!$A:$A,0),MATCH(E$6,'BS 2016'!$1:$1,0))</f>
        <v>169.3</v>
      </c>
      <c r="F7" s="54">
        <f>F21*'P&amp;L'!I5/360</f>
        <v>163.672579364337</v>
      </c>
      <c r="G7" s="54">
        <f>G21*'P&amp;L'!J5/360</f>
        <v>168.582756745267</v>
      </c>
      <c r="H7" s="54">
        <f>H21*'P&amp;L'!K5/360</f>
        <v>173.640239447625</v>
      </c>
      <c r="I7" s="54">
        <f>I21*'P&amp;L'!L5/360</f>
        <v>178.849446631053</v>
      </c>
      <c r="J7" s="54">
        <f>J21*'P&amp;L'!M5/360</f>
        <v>184.214930029985</v>
      </c>
    </row>
    <row r="8" spans="2:10">
      <c r="B8" s="31" t="s">
        <v>49</v>
      </c>
      <c r="C8" s="31" cm="1">
        <f t="array" ref="C8">INDEX('BS 2014'!$1:$1048576,MATCH($B8,'BS 2014'!$A:$A,0),MATCH(C$6,'BS 2014'!$1:$1,0))</f>
        <v>85</v>
      </c>
      <c r="D8" s="31" cm="1">
        <f t="array" ref="D8">INDEX('BS 2015'!$1:$1048576,MATCH($B8,'BS 2015'!$A:$A,0),MATCH(D$6,'BS 2015'!$1:$1,0))</f>
        <v>92</v>
      </c>
      <c r="E8" s="31" cm="1">
        <f t="array" ref="E8">INDEX('BS 2016'!$1:$1048576,MATCH($B8,'BS 2016'!$A:$A,0),MATCH(E$6,'BS 2016'!$1:$1,0))</f>
        <v>110</v>
      </c>
      <c r="F8" s="54">
        <f>-F23*'P&amp;L'!I6/360</f>
        <v>97.5343036432383</v>
      </c>
      <c r="G8" s="54">
        <f>-G23*'P&amp;L'!J6/360</f>
        <v>100.460332752535</v>
      </c>
      <c r="H8" s="54">
        <f>-H23*'P&amp;L'!K6/360</f>
        <v>103.474142735112</v>
      </c>
      <c r="I8" s="54">
        <f>-I23*'P&amp;L'!L6/360</f>
        <v>106.578367017165</v>
      </c>
      <c r="J8" s="54">
        <f>-J23*'P&amp;L'!M6/360</f>
        <v>109.77571802768</v>
      </c>
    </row>
    <row r="9" spans="2:10">
      <c r="B9" s="31" t="s">
        <v>50</v>
      </c>
      <c r="C9" s="31" cm="1">
        <f t="array" ref="C9">INDEX('BS 2014'!$1:$1048576,MATCH($B9,'BS 2014'!$A:$A,0),MATCH(C$6,'BS 2014'!$1:$1,0))</f>
        <v>632.5</v>
      </c>
      <c r="D9" s="31" cm="1">
        <f t="array" ref="D9">INDEX('BS 2015'!$1:$1048576,MATCH($B9,'BS 2015'!$A:$A,0),MATCH(D$6,'BS 2015'!$1:$1,0))</f>
        <v>632.5</v>
      </c>
      <c r="E9" s="31" cm="1">
        <f t="array" ref="E9">INDEX('BS 2016'!$1:$1048576,MATCH($B9,'BS 2016'!$A:$A,0),MATCH(E$6,'BS 2016'!$1:$1,0))</f>
        <v>659.5</v>
      </c>
      <c r="F9" s="55">
        <f>'PP&amp;E'!F9</f>
        <v>673.57628458498</v>
      </c>
      <c r="G9" s="55">
        <f>'PP&amp;E'!G9</f>
        <v>687.953011607743</v>
      </c>
      <c r="H9" s="55">
        <f>'PP&amp;E'!H9</f>
        <v>702.636593673679</v>
      </c>
      <c r="I9" s="55">
        <f>'PP&amp;E'!I9</f>
        <v>717.633580258018</v>
      </c>
      <c r="J9" s="55">
        <f>'PP&amp;E'!J9</f>
        <v>732.950660627161</v>
      </c>
    </row>
    <row r="10" spans="2:10">
      <c r="B10" s="31" t="s">
        <v>51</v>
      </c>
      <c r="C10" s="31" cm="1">
        <f t="array" ref="C10">INDEX('BS 2014'!$1:$1048576,MATCH($B10,'BS 2014'!$A:$A,0),MATCH(C$6,'BS 2014'!$1:$1,0))</f>
        <v>24.8</v>
      </c>
      <c r="D10" s="31" cm="1">
        <f t="array" ref="D10">INDEX('BS 2015'!$1:$1048576,MATCH($B10,'BS 2015'!$A:$A,0),MATCH(D$6,'BS 2015'!$1:$1,0))</f>
        <v>21.8</v>
      </c>
      <c r="E10" s="31" cm="1">
        <f t="array" ref="E10">INDEX('BS 2016'!$1:$1048576,MATCH($B10,'BS 2016'!$A:$A,0),MATCH(E$6,'BS 2016'!$1:$1,0))</f>
        <v>220</v>
      </c>
      <c r="F10" s="55">
        <f>E10+Cash!C20</f>
        <v>409.587122999644</v>
      </c>
      <c r="G10" s="55">
        <f>F10+Cash!D20</f>
        <v>559.824812591509</v>
      </c>
      <c r="H10" s="55">
        <f>G10+Cash!E20</f>
        <v>714.361219987292</v>
      </c>
      <c r="I10" s="55">
        <f>H10+Cash!F20</f>
        <v>873.188247829113</v>
      </c>
      <c r="J10" s="55">
        <f>I10+Cash!G20</f>
        <v>1036.28481427437</v>
      </c>
    </row>
    <row r="11" spans="2:10">
      <c r="B11" s="31" t="s">
        <v>52</v>
      </c>
      <c r="C11" s="31" cm="1">
        <f t="array" ref="C11">INDEX('BS 2014'!$1:$1048576,MATCH($B11,'BS 2014'!$A:$A,0),MATCH(C$6,'BS 2014'!$1:$1,0))</f>
        <v>45.9</v>
      </c>
      <c r="D11" s="31" cm="1">
        <f t="array" ref="D11">INDEX('BS 2015'!$1:$1048576,MATCH($B11,'BS 2015'!$A:$A,0),MATCH(D$6,'BS 2015'!$1:$1,0))</f>
        <v>46.9</v>
      </c>
      <c r="E11" s="31" cm="1">
        <f t="array" ref="E11">INDEX('BS 2016'!$1:$1048576,MATCH($B11,'BS 2016'!$A:$A,0),MATCH(E$6,'BS 2016'!$1:$1,0))</f>
        <v>68</v>
      </c>
      <c r="F11" s="55">
        <f>F24*'P&amp;L'!I5</f>
        <v>56.146588971893</v>
      </c>
      <c r="G11" s="55">
        <f>G24*'P&amp;L'!J5</f>
        <v>57.8309866410497</v>
      </c>
      <c r="H11" s="55">
        <f>H24*'P&amp;L'!K5</f>
        <v>59.5659162402812</v>
      </c>
      <c r="I11" s="55">
        <f>I24*'P&amp;L'!L5</f>
        <v>61.3528937274896</v>
      </c>
      <c r="J11" s="55">
        <f>J24*'P&amp;L'!M5</f>
        <v>63.1934805393143</v>
      </c>
    </row>
    <row r="12" s="53" customFormat="1" ht="13.95" spans="2:10">
      <c r="B12" s="56" t="s">
        <v>53</v>
      </c>
      <c r="C12" s="57">
        <f t="shared" ref="C12:J12" si="0">SUM(C7:C11)</f>
        <v>932.1</v>
      </c>
      <c r="D12" s="57">
        <f t="shared" si="0"/>
        <v>948</v>
      </c>
      <c r="E12" s="57">
        <f t="shared" si="0"/>
        <v>1226.8</v>
      </c>
      <c r="F12" s="58">
        <f t="shared" si="0"/>
        <v>1400.51687956409</v>
      </c>
      <c r="G12" s="58">
        <f t="shared" si="0"/>
        <v>1574.6519003381</v>
      </c>
      <c r="H12" s="58">
        <f t="shared" si="0"/>
        <v>1753.67811208399</v>
      </c>
      <c r="I12" s="58">
        <f t="shared" si="0"/>
        <v>1937.60253546284</v>
      </c>
      <c r="J12" s="58">
        <f t="shared" si="0"/>
        <v>2126.41960349851</v>
      </c>
    </row>
    <row r="14" spans="2:10">
      <c r="B14" s="31" t="s">
        <v>54</v>
      </c>
      <c r="C14" s="31" cm="1">
        <f t="array" ref="C14">INDEX('BS 2014'!$1:$1048576,MATCH($B14,'BS 2014'!$A:$A,0),MATCH(C$6,'BS 2014'!$1:$1,0))</f>
        <v>68</v>
      </c>
      <c r="D14" s="31" cm="1">
        <f t="array" ref="D14">INDEX('BS 2015'!$1:$1048576,MATCH(B14,'BS 2015'!$A:$A,0),MATCH(D$6,'BS 2015'!$1:$1,0))</f>
        <v>68.9</v>
      </c>
      <c r="E14" s="31" cm="1">
        <f t="array" ref="E14">INDEX('BS 2016'!$1:$1048576,MATCH(B14,'BS 2016'!$A:$A,0),MATCH(E$6,'BS 2016'!$1:$1,0))</f>
        <v>68.9</v>
      </c>
      <c r="F14" s="54">
        <f>-F22*'P&amp;L'!I6/360</f>
        <v>69.8688142662687</v>
      </c>
      <c r="G14" s="54">
        <f>-G22*'P&amp;L'!J6/360</f>
        <v>71.9648786942567</v>
      </c>
      <c r="H14" s="54">
        <f>-H22*'P&amp;L'!K6/360</f>
        <v>74.1238250550844</v>
      </c>
      <c r="I14" s="54">
        <f>-I22*'P&amp;L'!L6/360</f>
        <v>76.3475398067369</v>
      </c>
      <c r="J14" s="54">
        <f>-J22*'P&amp;L'!M6/360</f>
        <v>78.6379660009391</v>
      </c>
    </row>
    <row r="15" spans="2:10">
      <c r="B15" s="31" t="s">
        <v>55</v>
      </c>
      <c r="C15" s="31" cm="1">
        <f t="array" ref="C15">INDEX('BS 2014'!$1:$1048576,MATCH($B15,'BS 2014'!$A:$A,0),MATCH(C$6,'BS 2014'!$1:$1,0))</f>
        <v>32.5</v>
      </c>
      <c r="D15" s="31" cm="1">
        <f t="array" ref="D15">INDEX('BS 2015'!$1:$1048576,MATCH($B15,'BS 2015'!$A:$A,0),MATCH(D$6,'BS 2015'!$1:$1,0))</f>
        <v>28.7</v>
      </c>
      <c r="E15" s="31" cm="1">
        <f t="array" ref="E15">INDEX('BS 2016'!$1:$1048576,MATCH(B15,'BS 2016'!$A:$A,0),MATCH(E$6,'BS 2016'!$1:$1,0))</f>
        <v>28.7</v>
      </c>
      <c r="F15" s="31">
        <v>28.7</v>
      </c>
      <c r="G15" s="31">
        <v>28.7</v>
      </c>
      <c r="H15" s="31">
        <v>28.7</v>
      </c>
      <c r="I15" s="31">
        <v>28.7</v>
      </c>
      <c r="J15" s="31">
        <v>28.7</v>
      </c>
    </row>
    <row r="16" spans="2:10">
      <c r="B16" s="31" t="s">
        <v>56</v>
      </c>
      <c r="C16" s="31" cm="1">
        <f t="array" ref="C16">INDEX('BS 2014'!$1:$1048576,MATCH($B16,'BS 2014'!$A:$A,0),MATCH(C$6,'BS 2014'!$1:$1,0))</f>
        <v>615.8</v>
      </c>
      <c r="D16" s="31" cm="1">
        <f t="array" ref="D16">INDEX('BS 2015'!$1:$1048576,MATCH($B16,'BS 2015'!$A:$A,0),MATCH(D$6,'BS 2015'!$1:$1,0))</f>
        <v>610.4</v>
      </c>
      <c r="E16" s="31" cm="1">
        <f t="array" ref="E16">INDEX('BS 2016'!$1:$1048576,MATCH($B16,'BS 2016'!$A:$A,0),MATCH(E$6,'BS 2016'!$1:$1,0))</f>
        <v>605</v>
      </c>
      <c r="F16" s="55">
        <f>'Financial Liabilities'!F9</f>
        <v>565.178845605035</v>
      </c>
      <c r="G16" s="55">
        <f>'Financial Liabilities'!G9</f>
        <v>521.773787314522</v>
      </c>
      <c r="H16" s="55">
        <f>'Financial Liabilities'!H9</f>
        <v>474.462273777864</v>
      </c>
      <c r="I16" s="55">
        <f>'Financial Liabilities'!I9</f>
        <v>422.892724022906</v>
      </c>
      <c r="J16" s="55">
        <f>'Financial Liabilities'!J9</f>
        <v>366.681914790002</v>
      </c>
    </row>
    <row r="17" spans="2:10">
      <c r="B17" s="31" t="s">
        <v>57</v>
      </c>
      <c r="C17" s="31" cm="1">
        <f t="array" ref="C17">INDEX('BS 2014'!$1:$1048576,MATCH($B17,'BS 2014'!$A:$A,0),MATCH(C$6,'BS 2014'!$1:$1,0))</f>
        <v>48.3</v>
      </c>
      <c r="D17" s="31" cm="1">
        <f t="array" ref="D17">INDEX('BS 2015'!$1:$1048576,MATCH($B17,'BS 2015'!$A:$A,0),MATCH(D$6,'BS 2015'!$1:$1,0))</f>
        <v>43.3</v>
      </c>
      <c r="E17" s="31" cm="1">
        <f t="array" ref="E17">INDEX('BS 2016'!$1:$1048576,MATCH($B17,'BS 2016'!$A:$A,0),MATCH(E$6,'BS 2016'!$1:$1,0))</f>
        <v>38.9</v>
      </c>
      <c r="F17" s="55">
        <f>F25*'P&amp;L'!I5</f>
        <v>45.753669099904</v>
      </c>
      <c r="G17" s="55">
        <f>G25*'P&amp;L'!J5</f>
        <v>47.1262791729012</v>
      </c>
      <c r="H17" s="55">
        <f>H25*'P&amp;L'!K5</f>
        <v>48.5400675480883</v>
      </c>
      <c r="I17" s="55">
        <f>I25*'P&amp;L'!L5</f>
        <v>49.9962695745309</v>
      </c>
      <c r="J17" s="55">
        <f>J25*'P&amp;L'!M5</f>
        <v>51.4961576617669</v>
      </c>
    </row>
    <row r="18" spans="2:10">
      <c r="B18" s="31" t="s">
        <v>58</v>
      </c>
      <c r="C18" s="31" cm="1">
        <f t="array" ref="C18">INDEX('BS 2014'!$1:$1048576,MATCH($B18,'BS 2014'!$A:$A,0),MATCH(C$6,'BS 2014'!$1:$1,0))</f>
        <v>167.5</v>
      </c>
      <c r="D18" s="31" cm="1">
        <f t="array" ref="D18">INDEX('BS 2015'!$1:$1048576,MATCH($B18,'BS 2015'!$A:$A,0),MATCH(D$6,'BS 2015'!$1:$1,0))</f>
        <v>196.7</v>
      </c>
      <c r="E18" s="31" cm="1">
        <f t="array" ref="E18">INDEX('BS 2016'!$1:$1048576,MATCH($B18,'BS 2016'!$A:$A,0),MATCH(E$6,'BS 2016'!$1:$1,0))</f>
        <v>485.3</v>
      </c>
      <c r="F18" s="55">
        <f>Equity!F10</f>
        <v>691.015550592885</v>
      </c>
      <c r="G18" s="55">
        <f>Equity!G10</f>
        <v>905.086955156424</v>
      </c>
      <c r="H18" s="55">
        <f>Equity!H10</f>
        <v>1127.85194570295</v>
      </c>
      <c r="I18" s="55">
        <f>Equity!I10</f>
        <v>1359.66600205867</v>
      </c>
      <c r="J18" s="55">
        <f>Equity!J10</f>
        <v>1600.90356504581</v>
      </c>
    </row>
    <row r="19" s="53" customFormat="1" ht="13.95" spans="2:14">
      <c r="B19" s="59" t="s">
        <v>59</v>
      </c>
      <c r="C19" s="60">
        <f t="shared" ref="C19:J19" si="1">SUM(C14:C18)</f>
        <v>932.1</v>
      </c>
      <c r="D19" s="60">
        <f t="shared" si="1"/>
        <v>948</v>
      </c>
      <c r="E19" s="60">
        <f t="shared" si="1"/>
        <v>1226.8</v>
      </c>
      <c r="F19" s="61">
        <f t="shared" si="1"/>
        <v>1400.51687956409</v>
      </c>
      <c r="G19" s="61">
        <f t="shared" si="1"/>
        <v>1574.6519003381</v>
      </c>
      <c r="H19" s="61">
        <f t="shared" si="1"/>
        <v>1753.67811208399</v>
      </c>
      <c r="I19" s="61">
        <f t="shared" si="1"/>
        <v>1937.60253546284</v>
      </c>
      <c r="J19" s="61">
        <f t="shared" si="1"/>
        <v>2126.41960349851</v>
      </c>
      <c r="N19" s="31"/>
    </row>
    <row r="21" spans="2:10">
      <c r="B21" s="62" t="s">
        <v>22</v>
      </c>
      <c r="C21" s="63">
        <f>C7/'P&amp;L'!C5*360</f>
        <v>17.7289527720739</v>
      </c>
      <c r="D21" s="63">
        <f>D7/'P&amp;L'!D5*360</f>
        <v>18.6756032171582</v>
      </c>
      <c r="E21" s="63">
        <f>E7/'P&amp;L'!E5*360</f>
        <v>20.0486842105263</v>
      </c>
      <c r="F21" s="64">
        <f>AVERAGE(C21:E21)</f>
        <v>18.8177467332528</v>
      </c>
      <c r="G21" s="64">
        <v>18.8177467332528</v>
      </c>
      <c r="H21" s="64">
        <v>18.8177467332528</v>
      </c>
      <c r="I21" s="64">
        <v>18.8177467332528</v>
      </c>
      <c r="J21" s="64">
        <v>18.8177467332528</v>
      </c>
    </row>
    <row r="22" spans="2:10">
      <c r="B22" s="62" t="s">
        <v>24</v>
      </c>
      <c r="C22" s="63">
        <f>-C14/'P&amp;L'!C$6*360</f>
        <v>17.4732334047109</v>
      </c>
      <c r="D22" s="63">
        <f>-D14/'P&amp;L'!D6*360</f>
        <v>17.9349240780911</v>
      </c>
      <c r="E22" s="63">
        <f>-E14/'P&amp;L'!E6*360</f>
        <v>18.1448427212875</v>
      </c>
      <c r="F22" s="64">
        <f>AVERAGE(C22:E22)</f>
        <v>17.8510000680298</v>
      </c>
      <c r="G22" s="64">
        <v>17.8510000680298</v>
      </c>
      <c r="H22" s="64">
        <v>17.8510000680298</v>
      </c>
      <c r="I22" s="64">
        <v>17.8510000680298</v>
      </c>
      <c r="J22" s="64">
        <v>17.8510000680298</v>
      </c>
    </row>
    <row r="23" spans="2:10">
      <c r="B23" s="62" t="s">
        <v>23</v>
      </c>
      <c r="C23" s="63">
        <f>-C8/'P&amp;L'!C$6*360</f>
        <v>21.8415417558887</v>
      </c>
      <c r="D23" s="63">
        <f>-D8/'P&amp;L'!D$6*360</f>
        <v>23.9479392624729</v>
      </c>
      <c r="E23" s="63">
        <f>-E8/'P&amp;L'!E$6*360</f>
        <v>28.9685442574982</v>
      </c>
      <c r="F23" s="64">
        <f>AVERAGE(C23:E23)</f>
        <v>24.9193417586199</v>
      </c>
      <c r="G23" s="64">
        <v>24.9193417586199</v>
      </c>
      <c r="H23" s="64">
        <v>24.9193417586199</v>
      </c>
      <c r="I23" s="64">
        <v>24.9193417586199</v>
      </c>
      <c r="J23" s="64">
        <v>24.9193417586199</v>
      </c>
    </row>
    <row r="24" spans="2:10">
      <c r="B24" s="62" t="s">
        <v>60</v>
      </c>
      <c r="C24" s="65">
        <f>C11/'P&amp;L'!C$5</f>
        <v>0.0157084188911704</v>
      </c>
      <c r="D24" s="65">
        <f>D11/'P&amp;L'!D$5</f>
        <v>0.0157171581769437</v>
      </c>
      <c r="E24" s="65">
        <f>E11/'P&amp;L'!E$5</f>
        <v>0.0223684210526316</v>
      </c>
      <c r="F24" s="65">
        <f>AVERAGE(C24:E24)</f>
        <v>0.0179313327069152</v>
      </c>
      <c r="G24" s="65">
        <v>0.0179313327069152</v>
      </c>
      <c r="H24" s="65">
        <v>0.0179313327069152</v>
      </c>
      <c r="I24" s="65">
        <v>0.0179313327069152</v>
      </c>
      <c r="J24" s="65">
        <v>0.0179313327069152</v>
      </c>
    </row>
    <row r="25" spans="2:10">
      <c r="B25" s="62" t="s">
        <v>61</v>
      </c>
      <c r="C25" s="65">
        <f>C17/'P&amp;L'!C$5</f>
        <v>0.0165297741273101</v>
      </c>
      <c r="D25" s="65">
        <f>D17/'P&amp;L'!D$5</f>
        <v>0.0145107238605898</v>
      </c>
      <c r="E25" s="65">
        <f>E17/'P&amp;L'!E$5</f>
        <v>0.0127960526315789</v>
      </c>
      <c r="F25" s="65">
        <f>AVERAGE(C25:E25)</f>
        <v>0.0146121835398263</v>
      </c>
      <c r="G25" s="65">
        <v>0.0146121835398263</v>
      </c>
      <c r="H25" s="65">
        <v>0.0146121835398263</v>
      </c>
      <c r="I25" s="65">
        <v>0.0146121835398263</v>
      </c>
      <c r="J25" s="65">
        <v>0.0146121835398263</v>
      </c>
    </row>
    <row r="27" spans="2:10">
      <c r="B27" s="42" t="s">
        <v>62</v>
      </c>
      <c r="C27" s="42">
        <f>C12-C19</f>
        <v>0</v>
      </c>
      <c r="D27" s="42">
        <f t="shared" ref="D27:J27" si="2">D12-D19</f>
        <v>0</v>
      </c>
      <c r="E27" s="42">
        <f t="shared" si="2"/>
        <v>0</v>
      </c>
      <c r="F27" s="66">
        <f t="shared" si="2"/>
        <v>0</v>
      </c>
      <c r="G27" s="66">
        <f t="shared" si="2"/>
        <v>0</v>
      </c>
      <c r="H27" s="66">
        <f t="shared" si="2"/>
        <v>0</v>
      </c>
      <c r="I27" s="66">
        <f t="shared" si="2"/>
        <v>0</v>
      </c>
      <c r="J27" s="66">
        <f t="shared" si="2"/>
        <v>0</v>
      </c>
    </row>
  </sheetData>
  <mergeCells count="1">
    <mergeCell ref="F5:J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5"/>
  <sheetViews>
    <sheetView showGridLines="0" zoomScale="99" zoomScaleNormal="99" topLeftCell="A2" workbookViewId="0">
      <selection activeCell="K10" sqref="K10"/>
    </sheetView>
  </sheetViews>
  <sheetFormatPr defaultColWidth="8.88888888888889" defaultRowHeight="14.4"/>
  <cols>
    <col min="1" max="1" width="2.02777777777778" customWidth="1"/>
    <col min="2" max="2" width="35.8888888888889" customWidth="1"/>
    <col min="3" max="8" width="7.66666666666667" customWidth="1"/>
    <col min="9" max="9" width="8.33333333333333" customWidth="1"/>
  </cols>
  <sheetData>
    <row r="2" ht="17.4" spans="2:2">
      <c r="B2" s="23" t="s">
        <v>63</v>
      </c>
    </row>
    <row r="4" spans="3:9">
      <c r="C4" s="45">
        <v>2015</v>
      </c>
      <c r="D4" s="45">
        <v>2016</v>
      </c>
      <c r="E4" s="45">
        <v>2017</v>
      </c>
      <c r="F4" s="45">
        <v>2018</v>
      </c>
      <c r="G4" s="45">
        <v>2019</v>
      </c>
      <c r="H4" s="45">
        <v>2020</v>
      </c>
      <c r="I4" s="45">
        <v>2021</v>
      </c>
    </row>
    <row r="5" ht="15.15" spans="2:9">
      <c r="B5" s="25" t="s">
        <v>30</v>
      </c>
      <c r="C5" s="46" t="s">
        <v>64</v>
      </c>
      <c r="D5" s="46" t="s">
        <v>64</v>
      </c>
      <c r="E5" s="47" t="s">
        <v>7</v>
      </c>
      <c r="F5" s="47"/>
      <c r="G5" s="47"/>
      <c r="H5" s="47"/>
      <c r="I5" s="47"/>
    </row>
    <row r="6" spans="2:9">
      <c r="B6" s="48" t="s">
        <v>4</v>
      </c>
      <c r="C6" s="48">
        <f>'P&amp;L'!D9</f>
        <v>355.66</v>
      </c>
      <c r="D6" s="48">
        <f>'P&amp;L'!E9</f>
        <v>604.76</v>
      </c>
      <c r="E6" s="49">
        <f>'P&amp;L'!I9</f>
        <v>626.24</v>
      </c>
      <c r="F6" s="49">
        <f>'P&amp;L'!J9</f>
        <v>645.0272</v>
      </c>
      <c r="G6" s="49">
        <f>'P&amp;L'!K9</f>
        <v>664.378016</v>
      </c>
      <c r="H6" s="49">
        <f>'P&amp;L'!L9</f>
        <v>684.30935648</v>
      </c>
      <c r="I6" s="49">
        <f>'P&amp;L'!M9</f>
        <v>704.8386371744</v>
      </c>
    </row>
    <row r="8" spans="2:9">
      <c r="B8" t="s">
        <v>65</v>
      </c>
      <c r="C8" s="27">
        <f>'P&amp;L'!D12</f>
        <v>-65</v>
      </c>
      <c r="D8" s="27">
        <f>'P&amp;L'!E12</f>
        <v>-52</v>
      </c>
      <c r="E8" s="27">
        <f>'P&amp;L'!I12</f>
        <v>-54.45</v>
      </c>
      <c r="F8" s="27">
        <f>'P&amp;L'!J12</f>
        <v>-50.8660961044531</v>
      </c>
      <c r="G8" s="27">
        <f>'P&amp;L'!K12</f>
        <v>-46.959640858307</v>
      </c>
      <c r="H8" s="27">
        <f>'P&amp;L'!L12</f>
        <v>-42.7016046400077</v>
      </c>
      <c r="I8" s="27">
        <f>'P&amp;L'!M12</f>
        <v>-38.0603451620616</v>
      </c>
    </row>
    <row r="9" spans="2:9">
      <c r="B9" t="s">
        <v>40</v>
      </c>
      <c r="C9" s="27">
        <f>'P&amp;L'!D14</f>
        <v>-209.98</v>
      </c>
      <c r="D9" s="27">
        <f>'P&amp;L'!E14</f>
        <v>-208.58</v>
      </c>
      <c r="E9" s="27">
        <f>'P&amp;L'!I14</f>
        <v>-184.616519762846</v>
      </c>
      <c r="F9" s="27">
        <f>'P&amp;L'!J14</f>
        <v>-192.115363069842</v>
      </c>
      <c r="G9" s="27">
        <f>'P&amp;L'!K14</f>
        <v>-199.917299208422</v>
      </c>
      <c r="H9" s="27">
        <f>'P&amp;L'!L14</f>
        <v>-208.038255703846</v>
      </c>
      <c r="I9" s="27">
        <f>'P&amp;L'!M14</f>
        <v>-216.495248834614</v>
      </c>
    </row>
    <row r="11" spans="2:9">
      <c r="B11" t="s">
        <v>66</v>
      </c>
      <c r="C11">
        <f>-(BS!D8-BS!C8)</f>
        <v>-7</v>
      </c>
      <c r="D11">
        <f>-(BS!E8-BS!D8)</f>
        <v>-18</v>
      </c>
      <c r="E11" s="28">
        <f>-(BS!F8-BS!E8)</f>
        <v>12.4656963567617</v>
      </c>
      <c r="F11" s="28">
        <f>-(BS!G8-BS!F8)</f>
        <v>-2.92602910929715</v>
      </c>
      <c r="G11" s="28">
        <f>-(BS!H8-BS!G8)</f>
        <v>-3.01380998257608</v>
      </c>
      <c r="H11" s="28">
        <f>-(BS!I8-BS!H8)</f>
        <v>-3.10422428205334</v>
      </c>
      <c r="I11" s="28">
        <f>-(BS!J8-BS!I8)</f>
        <v>-3.19735101051495</v>
      </c>
    </row>
    <row r="12" spans="2:9">
      <c r="B12" t="s">
        <v>67</v>
      </c>
      <c r="C12">
        <f>-(BS!D7-BS!C7)</f>
        <v>-10.9</v>
      </c>
      <c r="D12">
        <f>-(BS!E7-BS!D7)</f>
        <v>-14.5</v>
      </c>
      <c r="E12" s="28">
        <f>-(BS!F7-BS!E7)</f>
        <v>5.62742063566336</v>
      </c>
      <c r="F12" s="28">
        <f>-(BS!G7-BS!F7)</f>
        <v>-4.91017738093004</v>
      </c>
      <c r="G12" s="28">
        <f>-(BS!H7-BS!G7)</f>
        <v>-5.05748270235802</v>
      </c>
      <c r="H12" s="28">
        <f>-(BS!I7-BS!H7)</f>
        <v>-5.20920718342876</v>
      </c>
      <c r="I12" s="28">
        <f>-(BS!J7-BS!I7)</f>
        <v>-5.36548339893162</v>
      </c>
    </row>
    <row r="13" spans="2:9">
      <c r="B13" t="s">
        <v>68</v>
      </c>
      <c r="C13">
        <f>BS!D14-BS!C14</f>
        <v>0.900000000000006</v>
      </c>
      <c r="D13">
        <f>BS!E14-BS!D14</f>
        <v>0</v>
      </c>
      <c r="E13" s="28">
        <f>BS!F14-BS!E14</f>
        <v>0.968814266268652</v>
      </c>
      <c r="F13" s="28">
        <f>BS!G14-BS!F14</f>
        <v>2.09606442798807</v>
      </c>
      <c r="G13" s="28">
        <f>BS!H14-BS!G14</f>
        <v>2.1589463608277</v>
      </c>
      <c r="H13" s="28">
        <f>BS!I14-BS!H14</f>
        <v>2.22371475165252</v>
      </c>
      <c r="I13" s="28">
        <f>BS!J14-BS!I14</f>
        <v>2.29042619420211</v>
      </c>
    </row>
    <row r="14" spans="2:9">
      <c r="B14" t="s">
        <v>69</v>
      </c>
      <c r="C14">
        <f>BS!D15-BS!C15</f>
        <v>-3.8</v>
      </c>
      <c r="D14">
        <f>BS!E15-BS!D15</f>
        <v>0</v>
      </c>
      <c r="E14">
        <f>BS!F15-BS!E15</f>
        <v>0</v>
      </c>
      <c r="F14">
        <f>BS!G15-BS!F15</f>
        <v>0</v>
      </c>
      <c r="G14">
        <f>BS!H15-BS!G15</f>
        <v>0</v>
      </c>
      <c r="H14">
        <f>BS!I15-BS!H15</f>
        <v>0</v>
      </c>
      <c r="I14">
        <f>BS!J15-BS!I15</f>
        <v>0</v>
      </c>
    </row>
    <row r="15" spans="2:9">
      <c r="B15" t="s">
        <v>70</v>
      </c>
      <c r="C15">
        <f>BS!D17-BS!C17</f>
        <v>-5</v>
      </c>
      <c r="D15">
        <f>BS!E17-BS!D17</f>
        <v>-4.4</v>
      </c>
      <c r="E15" s="28">
        <f>BS!F17-BS!E17</f>
        <v>6.85366909990397</v>
      </c>
      <c r="F15" s="28">
        <f>BS!G17-BS!F17</f>
        <v>1.37261007299727</v>
      </c>
      <c r="G15" s="28">
        <f>BS!H17-BS!G17</f>
        <v>1.41378837518704</v>
      </c>
      <c r="H15" s="28">
        <f>BS!I17-BS!H17</f>
        <v>1.45620202644265</v>
      </c>
      <c r="I15" s="28">
        <f>BS!J17-BS!I17</f>
        <v>1.49988808723593</v>
      </c>
    </row>
    <row r="16" spans="2:9">
      <c r="B16" t="s">
        <v>71</v>
      </c>
      <c r="C16">
        <f>-(BS!D11-BS!C11)</f>
        <v>-1</v>
      </c>
      <c r="D16">
        <f>-(BS!E11-BS!D11)</f>
        <v>-21.1</v>
      </c>
      <c r="E16" s="28">
        <f>-(BS!F11-BS!E11)</f>
        <v>11.853411028107</v>
      </c>
      <c r="F16" s="28">
        <f>-(BS!G11-BS!F11)</f>
        <v>-1.68439766915665</v>
      </c>
      <c r="G16" s="28">
        <f>-(BS!H11-BS!G11)</f>
        <v>-1.73492959923149</v>
      </c>
      <c r="H16" s="28">
        <f>-(BS!I11-BS!H11)</f>
        <v>-1.78697748720844</v>
      </c>
      <c r="I16" s="28">
        <f>-(BS!J11-BS!I11)</f>
        <v>-1.84058681182469</v>
      </c>
    </row>
    <row r="17" spans="2:9">
      <c r="B17" s="50" t="s">
        <v>72</v>
      </c>
      <c r="C17" s="50">
        <f>SUM(C6:C16)</f>
        <v>53.8800000000001</v>
      </c>
      <c r="D17" s="50">
        <f>SUM(D6:D16)</f>
        <v>286.18</v>
      </c>
      <c r="E17" s="50">
        <f>SUM(E6:E16)</f>
        <v>424.942491623859</v>
      </c>
      <c r="F17" s="50">
        <f>SUM(F6:F16)</f>
        <v>395.993811167306</v>
      </c>
      <c r="G17" s="50">
        <f>SUM(G6:G16)</f>
        <v>411.26758838512</v>
      </c>
      <c r="H17" s="50">
        <f>SUM(H6:H16)</f>
        <v>427.149003961552</v>
      </c>
      <c r="I17" s="50">
        <f>SUM(I6:I16)</f>
        <v>443.669936237891</v>
      </c>
    </row>
    <row r="19" spans="2:9">
      <c r="B19" t="s">
        <v>73</v>
      </c>
      <c r="C19" s="27">
        <f>-(BS!D9-BS!C9-'P&amp;L'!D10)</f>
        <v>-44</v>
      </c>
      <c r="D19" s="27">
        <f>-(BS!E9-BS!D9-'P&amp;L'!E10)</f>
        <v>-68</v>
      </c>
      <c r="E19" s="27">
        <f>-'PP&amp;E'!F8</f>
        <v>-58.3905138339921</v>
      </c>
      <c r="F19" s="27">
        <f>-'PP&amp;E'!G8</f>
        <v>-59.6367935759034</v>
      </c>
      <c r="G19" s="27">
        <f>-'PP&amp;E'!H8</f>
        <v>-60.9096737549938</v>
      </c>
      <c r="H19" s="27">
        <f>-'PP&amp;E'!I8</f>
        <v>-62.2097221276301</v>
      </c>
      <c r="I19" s="27">
        <f>-'PP&amp;E'!J8</f>
        <v>-63.5375185682988</v>
      </c>
    </row>
    <row r="20" spans="2:9">
      <c r="B20" s="50" t="s">
        <v>74</v>
      </c>
      <c r="C20" s="50">
        <f>SUM(C19)</f>
        <v>-44</v>
      </c>
      <c r="D20" s="50">
        <f>SUM(D19)</f>
        <v>-68</v>
      </c>
      <c r="E20" s="50">
        <f>SUM(E19)</f>
        <v>-58.3905138339921</v>
      </c>
      <c r="F20" s="50">
        <f>SUM(F19)</f>
        <v>-59.6367935759034</v>
      </c>
      <c r="G20" s="50">
        <f>SUM(G19)</f>
        <v>-60.9096737549938</v>
      </c>
      <c r="H20" s="50">
        <f>SUM(H19)</f>
        <v>-62.2097221276301</v>
      </c>
      <c r="I20" s="50">
        <f>SUM(I19)</f>
        <v>-63.5375185682988</v>
      </c>
    </row>
    <row r="22" spans="2:10">
      <c r="B22" t="s">
        <v>75</v>
      </c>
      <c r="C22">
        <f>BS!D16-BS!C16</f>
        <v>-5.39999999999998</v>
      </c>
      <c r="D22">
        <f>BS!E16-BS!D16</f>
        <v>-5.39999999999998</v>
      </c>
      <c r="E22" s="28">
        <f>BS!F16-BS!E16</f>
        <v>-39.821154394965</v>
      </c>
      <c r="F22" s="28">
        <f>BS!G16-BS!F16</f>
        <v>-43.405058290513</v>
      </c>
      <c r="G22" s="28">
        <f>BS!H16-BS!G16</f>
        <v>-47.311513536658</v>
      </c>
      <c r="H22" s="28">
        <f>BS!I16-BS!H16</f>
        <v>-51.569549754958</v>
      </c>
      <c r="I22" s="28">
        <f>BS!J16-BS!I16</f>
        <v>-56.210809232904</v>
      </c>
      <c r="J22" s="28"/>
    </row>
    <row r="23" spans="2:9">
      <c r="B23" t="s">
        <v>76</v>
      </c>
      <c r="C23" s="27">
        <f>BS!D18-BS!C18-'P&amp;L'!D15</f>
        <v>-7.4800000000001</v>
      </c>
      <c r="D23" s="27">
        <f>BS!E18-BS!D18-'P&amp;L'!E15</f>
        <v>-14.5799999999999</v>
      </c>
      <c r="E23" s="27">
        <f>BS!F18-BS!E18-'P&amp;L'!I15</f>
        <v>-137.143700395257</v>
      </c>
      <c r="F23" s="27">
        <f>BS!G18-BS!F18-'P&amp;L'!J15</f>
        <v>-142.714269709025</v>
      </c>
      <c r="G23" s="27">
        <f>BS!H18-BS!G18-'P&amp;L'!K15</f>
        <v>-148.509993697685</v>
      </c>
      <c r="H23" s="27">
        <f>BS!I18-BS!H18-'P&amp;L'!L15</f>
        <v>-154.542704237143</v>
      </c>
      <c r="I23" s="27">
        <f>BS!J18-BS!I18-'P&amp;L'!M15</f>
        <v>-160.825041991428</v>
      </c>
    </row>
    <row r="24" spans="2:9">
      <c r="B24" s="50" t="s">
        <v>77</v>
      </c>
      <c r="C24" s="50">
        <f>SUM(C22:C23)</f>
        <v>-12.8800000000001</v>
      </c>
      <c r="D24" s="50">
        <f>SUM(D22:D23)</f>
        <v>-19.9799999999999</v>
      </c>
      <c r="E24" s="50">
        <f>SUM(E22:E23)</f>
        <v>-176.964854790222</v>
      </c>
      <c r="F24" s="50">
        <f>SUM(F22:F23)</f>
        <v>-186.119327999538</v>
      </c>
      <c r="G24" s="50">
        <f>SUM(G22:G23)</f>
        <v>-195.821507234343</v>
      </c>
      <c r="H24" s="50">
        <f>SUM(H22:H23)</f>
        <v>-206.112253992101</v>
      </c>
      <c r="I24" s="50">
        <f>SUM(I22:I23)</f>
        <v>-217.035851224332</v>
      </c>
    </row>
    <row r="26" spans="2:9">
      <c r="B26" s="51" t="s">
        <v>78</v>
      </c>
      <c r="C26" s="51">
        <f>C17+C20+C24</f>
        <v>-2.99999999999999</v>
      </c>
      <c r="D26" s="51">
        <f>D17+D20+D24</f>
        <v>198.2</v>
      </c>
      <c r="E26" s="51">
        <f>E17+E20+E24</f>
        <v>189.587122999645</v>
      </c>
      <c r="F26" s="51">
        <f>F17+F20+F24</f>
        <v>150.237689591864</v>
      </c>
      <c r="G26" s="51">
        <f>G17+G20+G24</f>
        <v>154.536407395783</v>
      </c>
      <c r="H26" s="51">
        <f>H17+H20+H24</f>
        <v>158.827027841821</v>
      </c>
      <c r="I26" s="51">
        <f>I17+I20+I24</f>
        <v>163.096566445261</v>
      </c>
    </row>
    <row r="27" spans="6:9">
      <c r="F27" s="28"/>
      <c r="G27" s="28"/>
      <c r="H27" s="28"/>
      <c r="I27" s="28"/>
    </row>
    <row r="28" spans="2:9">
      <c r="B28" t="s">
        <v>79</v>
      </c>
      <c r="C28">
        <f>BS!C10</f>
        <v>24.8</v>
      </c>
      <c r="D28">
        <f>C29</f>
        <v>21.8</v>
      </c>
      <c r="E28">
        <f>D29</f>
        <v>220</v>
      </c>
      <c r="F28" s="28">
        <f>E29</f>
        <v>409.587122999644</v>
      </c>
      <c r="G28" s="28">
        <f>F29</f>
        <v>559.824812591509</v>
      </c>
      <c r="H28" s="28">
        <f>G29</f>
        <v>714.361219987292</v>
      </c>
      <c r="I28" s="28">
        <f>H29</f>
        <v>873.188247829113</v>
      </c>
    </row>
    <row r="29" ht="15.15" spans="2:9">
      <c r="B29" s="51" t="s">
        <v>80</v>
      </c>
      <c r="C29" s="51">
        <f>BS!D10</f>
        <v>21.8</v>
      </c>
      <c r="D29" s="51">
        <f>BS!E10</f>
        <v>220</v>
      </c>
      <c r="E29" s="51">
        <f>BS!F10</f>
        <v>409.587122999644</v>
      </c>
      <c r="F29" s="51">
        <f>BS!G10</f>
        <v>559.824812591509</v>
      </c>
      <c r="G29" s="51">
        <f>BS!H10</f>
        <v>714.361219987292</v>
      </c>
      <c r="H29" s="51">
        <f>BS!I10</f>
        <v>873.188247829113</v>
      </c>
      <c r="I29" s="51">
        <f>BS!J10</f>
        <v>1036.28481427437</v>
      </c>
    </row>
    <row r="31" spans="2:9">
      <c r="B31" s="42" t="s">
        <v>62</v>
      </c>
      <c r="C31" s="42">
        <f>C28+C26-C29</f>
        <v>0</v>
      </c>
      <c r="D31" s="42">
        <f>D28+D26-D29</f>
        <v>0</v>
      </c>
      <c r="E31" s="52">
        <f>E28+E26-E29</f>
        <v>5.11590769747272e-13</v>
      </c>
      <c r="F31" s="52">
        <f>F28+F26-F29</f>
        <v>0</v>
      </c>
      <c r="G31" s="52">
        <f>G28+G26-G29</f>
        <v>0</v>
      </c>
      <c r="H31" s="52">
        <f>H28+H26-H29</f>
        <v>0</v>
      </c>
      <c r="I31" s="52">
        <f>I28+I26-I29</f>
        <v>0</v>
      </c>
    </row>
    <row r="33" spans="3:4">
      <c r="C33" s="27"/>
      <c r="D33" s="27"/>
    </row>
    <row r="35" spans="3:3">
      <c r="C35" s="27"/>
    </row>
  </sheetData>
  <mergeCells count="1">
    <mergeCell ref="E5:I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J14"/>
  <sheetViews>
    <sheetView showGridLines="0" zoomScale="93" zoomScaleNormal="93" workbookViewId="0">
      <selection activeCell="D25" sqref="D25"/>
    </sheetView>
  </sheetViews>
  <sheetFormatPr defaultColWidth="8.88888888888889" defaultRowHeight="14.4"/>
  <cols>
    <col min="1" max="1" width="2.02777777777778" style="13" customWidth="1"/>
    <col min="2" max="2" width="21.9722222222222" style="13" customWidth="1"/>
    <col min="3" max="3" width="8.88888888888889" style="13"/>
    <col min="4" max="4" width="11.9444444444444" style="13" customWidth="1"/>
    <col min="5" max="5" width="12.0648148148148" style="13" customWidth="1"/>
    <col min="6" max="6" width="11.8240740740741" style="13" customWidth="1"/>
    <col min="7" max="10" width="14.1111111111111" style="13"/>
    <col min="11" max="16384" width="8.88888888888889" style="13"/>
  </cols>
  <sheetData>
    <row r="2" ht="17.4" spans="2:2">
      <c r="B2" s="23" t="s">
        <v>81</v>
      </c>
    </row>
    <row r="4" ht="17.4" spans="2:10">
      <c r="B4" s="23"/>
      <c r="C4" s="31"/>
      <c r="D4" s="31"/>
      <c r="E4" s="31"/>
      <c r="F4" s="24" t="s">
        <v>7</v>
      </c>
      <c r="G4" s="24"/>
      <c r="H4" s="24"/>
      <c r="I4" s="24"/>
      <c r="J4" s="24"/>
    </row>
    <row r="5" ht="15.15" spans="2:10">
      <c r="B5" s="25" t="s">
        <v>30</v>
      </c>
      <c r="C5" s="3">
        <v>42004</v>
      </c>
      <c r="D5" s="3">
        <v>42369</v>
      </c>
      <c r="E5" s="3">
        <v>42735</v>
      </c>
      <c r="F5" s="3">
        <f t="shared" ref="F5:H5" si="0">E5+365</f>
        <v>43100</v>
      </c>
      <c r="G5" s="3">
        <f t="shared" si="0"/>
        <v>43465</v>
      </c>
      <c r="H5" s="3">
        <f t="shared" si="0"/>
        <v>43830</v>
      </c>
      <c r="I5" s="3">
        <f>H5+366</f>
        <v>44196</v>
      </c>
      <c r="J5" s="3">
        <f>I5+365</f>
        <v>44561</v>
      </c>
    </row>
    <row r="6" spans="2:10">
      <c r="B6" s="13" t="s">
        <v>82</v>
      </c>
      <c r="C6" s="32"/>
      <c r="D6" s="33">
        <f>C9</f>
        <v>632.5</v>
      </c>
      <c r="E6" s="33">
        <f>BS!D9</f>
        <v>632.5</v>
      </c>
      <c r="F6" s="33">
        <f>BS!E9</f>
        <v>659.5</v>
      </c>
      <c r="G6" s="33">
        <f t="shared" ref="E6:J6" si="1">F9</f>
        <v>673.57628458498</v>
      </c>
      <c r="H6" s="33">
        <f t="shared" si="1"/>
        <v>687.953011607743</v>
      </c>
      <c r="I6" s="33">
        <f t="shared" si="1"/>
        <v>702.636593673679</v>
      </c>
      <c r="J6" s="33">
        <f t="shared" si="1"/>
        <v>717.633580258018</v>
      </c>
    </row>
    <row r="7" spans="2:10">
      <c r="B7" s="13" t="s">
        <v>36</v>
      </c>
      <c r="C7" s="32"/>
      <c r="D7" s="33">
        <f>'P&amp;L'!D10</f>
        <v>-44</v>
      </c>
      <c r="E7" s="33">
        <f>'P&amp;L'!E10</f>
        <v>-41</v>
      </c>
      <c r="F7" s="33">
        <f>F6*F11</f>
        <v>-44.3142292490119</v>
      </c>
      <c r="G7" s="33">
        <f>G6*G11</f>
        <v>-45.260066553141</v>
      </c>
      <c r="H7" s="33">
        <f>H6*H11</f>
        <v>-46.2260916890578</v>
      </c>
      <c r="I7" s="33">
        <f>I6*I11</f>
        <v>-47.2127355432907</v>
      </c>
      <c r="J7" s="33">
        <f>J6*J11</f>
        <v>-48.2204381991554</v>
      </c>
    </row>
    <row r="8" spans="2:10">
      <c r="B8" s="13" t="s">
        <v>83</v>
      </c>
      <c r="C8" s="32"/>
      <c r="D8" s="33">
        <f>D9-D7-D6</f>
        <v>44</v>
      </c>
      <c r="E8" s="33">
        <f>E9-E7-E6</f>
        <v>68</v>
      </c>
      <c r="F8" s="33">
        <f>F6*F12</f>
        <v>58.3905138339921</v>
      </c>
      <c r="G8" s="33">
        <f>G6*G12</f>
        <v>59.6367935759034</v>
      </c>
      <c r="H8" s="33">
        <f>H6*H12</f>
        <v>60.9096737549938</v>
      </c>
      <c r="I8" s="33">
        <f>I6*I12</f>
        <v>62.2097221276301</v>
      </c>
      <c r="J8" s="33">
        <f>J6*J12</f>
        <v>63.5375185682988</v>
      </c>
    </row>
    <row r="9" ht="15.15" spans="2:10">
      <c r="B9" s="30" t="s">
        <v>84</v>
      </c>
      <c r="C9" s="30">
        <f>BS!C9</f>
        <v>632.5</v>
      </c>
      <c r="D9" s="30">
        <f>BS!D9</f>
        <v>632.5</v>
      </c>
      <c r="E9" s="30">
        <f>BS!E9</f>
        <v>659.5</v>
      </c>
      <c r="F9" s="30">
        <f>SUM(F6:F8)</f>
        <v>673.57628458498</v>
      </c>
      <c r="G9" s="30">
        <f>SUM(G6:G8)</f>
        <v>687.953011607743</v>
      </c>
      <c r="H9" s="30">
        <f>SUM(H6:H8)</f>
        <v>702.636593673679</v>
      </c>
      <c r="I9" s="30">
        <f>SUM(I6:I8)</f>
        <v>717.633580258018</v>
      </c>
      <c r="J9" s="30">
        <f>SUM(J6:J8)</f>
        <v>732.950660627161</v>
      </c>
    </row>
    <row r="11" spans="2:10">
      <c r="B11" s="34" t="s">
        <v>85</v>
      </c>
      <c r="C11" s="34"/>
      <c r="D11" s="41">
        <f>D7/D6</f>
        <v>-0.0695652173913043</v>
      </c>
      <c r="E11" s="41">
        <f>E7/E6</f>
        <v>-0.0648221343873518</v>
      </c>
      <c r="F11" s="41">
        <f>AVERAGE(D11:E11)</f>
        <v>-0.0671936758893281</v>
      </c>
      <c r="G11" s="41">
        <f>AVERAGE(D11:E11)</f>
        <v>-0.0671936758893281</v>
      </c>
      <c r="H11" s="41">
        <f>AVERAGE(F11:G11)</f>
        <v>-0.0671936758893281</v>
      </c>
      <c r="I11" s="41">
        <f>AVERAGE(G11:H11)</f>
        <v>-0.0671936758893281</v>
      </c>
      <c r="J11" s="41">
        <f>AVERAGE(H11:I11)</f>
        <v>-0.0671936758893281</v>
      </c>
    </row>
    <row r="12" spans="2:10">
      <c r="B12" s="34" t="s">
        <v>86</v>
      </c>
      <c r="C12" s="34"/>
      <c r="D12" s="41">
        <f>D8/D6</f>
        <v>0.0695652173913043</v>
      </c>
      <c r="E12" s="41">
        <f>E8/E6</f>
        <v>0.107509881422925</v>
      </c>
      <c r="F12" s="41">
        <f>AVERAGE($D12:$E12)</f>
        <v>0.0885375494071146</v>
      </c>
      <c r="G12" s="41">
        <f>AVERAGE($D12:$E12)</f>
        <v>0.0885375494071146</v>
      </c>
      <c r="H12" s="41">
        <f>AVERAGE($D12:$E12)</f>
        <v>0.0885375494071146</v>
      </c>
      <c r="I12" s="41">
        <f>AVERAGE($D12:$E12)</f>
        <v>0.0885375494071146</v>
      </c>
      <c r="J12" s="41">
        <f>AVERAGE($D12:$E12)</f>
        <v>0.0885375494071146</v>
      </c>
    </row>
    <row r="14" spans="2:10">
      <c r="B14" s="42" t="s">
        <v>62</v>
      </c>
      <c r="C14" s="43"/>
      <c r="D14" s="44">
        <f>D6+D8+D7-D9</f>
        <v>0</v>
      </c>
      <c r="E14" s="44">
        <f t="shared" ref="E14:J14" si="2">E6+E8+E7-E9</f>
        <v>0</v>
      </c>
      <c r="F14" s="44">
        <f t="shared" si="2"/>
        <v>0</v>
      </c>
      <c r="G14" s="44">
        <f t="shared" si="2"/>
        <v>0</v>
      </c>
      <c r="H14" s="44">
        <f t="shared" si="2"/>
        <v>0</v>
      </c>
      <c r="I14" s="44">
        <f t="shared" si="2"/>
        <v>0</v>
      </c>
      <c r="J14" s="44">
        <f t="shared" si="2"/>
        <v>0</v>
      </c>
    </row>
  </sheetData>
  <mergeCells count="1">
    <mergeCell ref="F4:J4"/>
  </mergeCell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M19"/>
  <sheetViews>
    <sheetView showGridLines="0" zoomScale="93" zoomScaleNormal="93" workbookViewId="0">
      <selection activeCell="D25" sqref="D25"/>
    </sheetView>
  </sheetViews>
  <sheetFormatPr defaultColWidth="8.88888888888889" defaultRowHeight="14.4"/>
  <cols>
    <col min="1" max="1" width="2.02777777777778" style="13" customWidth="1"/>
    <col min="2" max="2" width="28.4444444444444" style="13" customWidth="1"/>
    <col min="3" max="9" width="9.22222222222222" style="13" customWidth="1"/>
    <col min="10" max="11" width="8" style="13" customWidth="1"/>
    <col min="12" max="12" width="7.51851851851852" style="13" customWidth="1"/>
    <col min="13" max="16384" width="8.88888888888889" style="13"/>
  </cols>
  <sheetData>
    <row r="2" ht="17.4" spans="2:2">
      <c r="B2" s="23" t="s">
        <v>56</v>
      </c>
    </row>
    <row r="4" ht="17.4" spans="2:10">
      <c r="B4" s="23"/>
      <c r="C4" s="31"/>
      <c r="D4" s="31"/>
      <c r="E4" s="31"/>
      <c r="F4" s="24" t="s">
        <v>7</v>
      </c>
      <c r="G4" s="24"/>
      <c r="H4" s="24"/>
      <c r="I4" s="24"/>
      <c r="J4" s="24"/>
    </row>
    <row r="5" ht="15.15" spans="2:10">
      <c r="B5" s="25" t="s">
        <v>30</v>
      </c>
      <c r="C5" s="3">
        <v>42004</v>
      </c>
      <c r="D5" s="3">
        <v>42369</v>
      </c>
      <c r="E5" s="3">
        <v>42735</v>
      </c>
      <c r="F5" s="3">
        <f t="shared" ref="F5:H5" si="0">E5+365</f>
        <v>43100</v>
      </c>
      <c r="G5" s="3">
        <f t="shared" si="0"/>
        <v>43465</v>
      </c>
      <c r="H5" s="3">
        <f t="shared" si="0"/>
        <v>43830</v>
      </c>
      <c r="I5" s="3">
        <f>H5+366</f>
        <v>44196</v>
      </c>
      <c r="J5" s="3">
        <f>I5+365</f>
        <v>44561</v>
      </c>
    </row>
    <row r="6" spans="2:10">
      <c r="B6" s="13" t="s">
        <v>87</v>
      </c>
      <c r="C6" s="32"/>
      <c r="D6" s="33">
        <f t="shared" ref="D6:J6" si="1">C9</f>
        <v>615.8</v>
      </c>
      <c r="E6" s="33">
        <f t="shared" si="1"/>
        <v>610.4</v>
      </c>
      <c r="F6" s="33">
        <f t="shared" si="1"/>
        <v>605</v>
      </c>
      <c r="G6" s="33">
        <f t="shared" si="1"/>
        <v>565.178845605035</v>
      </c>
      <c r="H6" s="33">
        <f t="shared" si="1"/>
        <v>521.773787314522</v>
      </c>
      <c r="I6" s="33">
        <f t="shared" si="1"/>
        <v>474.462273777864</v>
      </c>
      <c r="J6" s="33">
        <f t="shared" si="1"/>
        <v>422.892724022906</v>
      </c>
    </row>
    <row r="7" spans="2:10">
      <c r="B7" s="13" t="s">
        <v>88</v>
      </c>
      <c r="C7" s="32"/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</row>
    <row r="8" spans="2:10">
      <c r="B8" s="13" t="s">
        <v>89</v>
      </c>
      <c r="C8" s="32"/>
      <c r="D8" s="33">
        <f>BS!D16-BS!C16</f>
        <v>-5.39999999999998</v>
      </c>
      <c r="E8" s="33">
        <f>BS!E16-BS!D16</f>
        <v>-5.39999999999998</v>
      </c>
      <c r="F8" s="33">
        <f>C19-E9</f>
        <v>-39.8211543949654</v>
      </c>
      <c r="G8" s="33">
        <f>D19-F9</f>
        <v>-43.4050582905123</v>
      </c>
      <c r="H8" s="33">
        <f>E19-G9</f>
        <v>-47.3115135366584</v>
      </c>
      <c r="I8" s="33">
        <f>F19-H9</f>
        <v>-51.5695497549576</v>
      </c>
      <c r="J8" s="33">
        <f>G19-I9</f>
        <v>-56.2108092329038</v>
      </c>
    </row>
    <row r="9" ht="15.15" spans="2:10">
      <c r="B9" s="30" t="s">
        <v>90</v>
      </c>
      <c r="C9" s="30">
        <f>BS!C16</f>
        <v>615.8</v>
      </c>
      <c r="D9" s="30">
        <f t="shared" ref="D9:J9" si="2">SUM(D6:D8)</f>
        <v>610.4</v>
      </c>
      <c r="E9" s="30">
        <f t="shared" si="2"/>
        <v>605</v>
      </c>
      <c r="F9" s="30">
        <f t="shared" si="2"/>
        <v>565.178845605035</v>
      </c>
      <c r="G9" s="30">
        <f t="shared" si="2"/>
        <v>521.773787314522</v>
      </c>
      <c r="H9" s="30">
        <f t="shared" si="2"/>
        <v>474.462273777864</v>
      </c>
      <c r="I9" s="30">
        <f t="shared" si="2"/>
        <v>422.892724022906</v>
      </c>
      <c r="J9" s="30">
        <f t="shared" si="2"/>
        <v>366.681914790002</v>
      </c>
    </row>
    <row r="11" spans="2:10">
      <c r="B11" s="34" t="s">
        <v>91</v>
      </c>
      <c r="C11" s="34">
        <v>10</v>
      </c>
      <c r="D11" s="36"/>
      <c r="E11" s="36"/>
      <c r="F11" s="36"/>
      <c r="G11" s="36"/>
      <c r="H11" s="36"/>
      <c r="I11" s="36"/>
      <c r="J11" s="36"/>
    </row>
    <row r="12" spans="2:10">
      <c r="B12" s="34" t="s">
        <v>92</v>
      </c>
      <c r="C12" s="35">
        <v>0.09</v>
      </c>
      <c r="D12" s="36"/>
      <c r="E12" s="36"/>
      <c r="F12" s="36"/>
      <c r="G12" s="36"/>
      <c r="H12" s="36"/>
      <c r="I12" s="36"/>
      <c r="J12" s="36"/>
    </row>
    <row r="13" spans="2:3">
      <c r="B13" s="34" t="s">
        <v>93</v>
      </c>
      <c r="C13" s="37">
        <f>PMT(C12,C11,E9)</f>
        <v>-94.2711543949654</v>
      </c>
    </row>
    <row r="15" ht="15.15" spans="2:12">
      <c r="B15" s="25" t="s">
        <v>94</v>
      </c>
      <c r="C15" s="38">
        <v>1</v>
      </c>
      <c r="D15" s="38">
        <v>2</v>
      </c>
      <c r="E15" s="38">
        <v>3</v>
      </c>
      <c r="F15" s="38">
        <v>4</v>
      </c>
      <c r="G15" s="38">
        <v>5</v>
      </c>
      <c r="H15" s="38">
        <v>6</v>
      </c>
      <c r="I15" s="38">
        <v>7</v>
      </c>
      <c r="J15" s="38">
        <v>8</v>
      </c>
      <c r="K15" s="38">
        <v>9</v>
      </c>
      <c r="L15" s="38">
        <v>10</v>
      </c>
    </row>
    <row r="16" spans="2:13">
      <c r="B16" s="39" t="s">
        <v>93</v>
      </c>
      <c r="C16" s="40">
        <f>C13</f>
        <v>-94.2711543949654</v>
      </c>
      <c r="D16" s="40">
        <v>-94.2711543949654</v>
      </c>
      <c r="E16" s="40">
        <v>-94.2711543949654</v>
      </c>
      <c r="F16" s="40">
        <v>-94.2711543949654</v>
      </c>
      <c r="G16" s="40">
        <v>-94.2711543949654</v>
      </c>
      <c r="H16" s="40">
        <v>-94.2711543949654</v>
      </c>
      <c r="I16" s="40">
        <v>-94.2711543949654</v>
      </c>
      <c r="J16" s="40">
        <v>-94.2711543949654</v>
      </c>
      <c r="K16" s="40">
        <v>-94.2711543949654</v>
      </c>
      <c r="L16" s="40">
        <v>-94.2711543949654</v>
      </c>
      <c r="M16" s="40"/>
    </row>
    <row r="17" spans="2:13">
      <c r="B17" s="39" t="s">
        <v>95</v>
      </c>
      <c r="C17" s="40">
        <f>-E9*C12</f>
        <v>-54.45</v>
      </c>
      <c r="D17" s="40">
        <f>-C19*$C$12</f>
        <v>-50.8660961044531</v>
      </c>
      <c r="E17" s="40">
        <f t="shared" ref="E17:L17" si="3">-D19*$C$12</f>
        <v>-46.959640858307</v>
      </c>
      <c r="F17" s="40">
        <f t="shared" si="3"/>
        <v>-42.7016046400077</v>
      </c>
      <c r="G17" s="40">
        <f t="shared" si="3"/>
        <v>-38.0603451620616</v>
      </c>
      <c r="H17" s="40">
        <f t="shared" si="3"/>
        <v>-33.0013723311002</v>
      </c>
      <c r="I17" s="40">
        <f t="shared" si="3"/>
        <v>-27.4870919453523</v>
      </c>
      <c r="J17" s="40">
        <f t="shared" si="3"/>
        <v>-21.4765263248872</v>
      </c>
      <c r="K17" s="40">
        <f t="shared" si="3"/>
        <v>-14.9250097985801</v>
      </c>
      <c r="L17" s="40">
        <f t="shared" si="3"/>
        <v>-7.78385678490546</v>
      </c>
      <c r="M17" s="40"/>
    </row>
    <row r="18" spans="2:13">
      <c r="B18" s="39" t="s">
        <v>96</v>
      </c>
      <c r="C18" s="40">
        <f>C16-C17</f>
        <v>-39.8211543949654</v>
      </c>
      <c r="D18" s="40">
        <f>D16-D17</f>
        <v>-43.4050582905123</v>
      </c>
      <c r="E18" s="40">
        <f t="shared" ref="E18:L18" si="4">E16-E17</f>
        <v>-47.3115135366584</v>
      </c>
      <c r="F18" s="40">
        <f t="shared" si="4"/>
        <v>-51.5695497549576</v>
      </c>
      <c r="G18" s="40">
        <f t="shared" si="4"/>
        <v>-56.2108092329038</v>
      </c>
      <c r="H18" s="40">
        <f t="shared" si="4"/>
        <v>-61.2697820638652</v>
      </c>
      <c r="I18" s="40">
        <f t="shared" si="4"/>
        <v>-66.784062449613</v>
      </c>
      <c r="J18" s="40">
        <f t="shared" si="4"/>
        <v>-72.7946280700782</v>
      </c>
      <c r="K18" s="40">
        <f t="shared" si="4"/>
        <v>-79.3461445963853</v>
      </c>
      <c r="L18" s="40">
        <f t="shared" si="4"/>
        <v>-86.4872976100599</v>
      </c>
      <c r="M18" s="40"/>
    </row>
    <row r="19" spans="2:13">
      <c r="B19" s="39" t="s">
        <v>97</v>
      </c>
      <c r="C19" s="40">
        <f>E9+C18</f>
        <v>565.178845605035</v>
      </c>
      <c r="D19" s="40">
        <f>C19+D18</f>
        <v>521.773787314522</v>
      </c>
      <c r="E19" s="40">
        <f t="shared" ref="E19:L19" si="5">D19+E18</f>
        <v>474.462273777864</v>
      </c>
      <c r="F19" s="40">
        <f t="shared" si="5"/>
        <v>422.892724022906</v>
      </c>
      <c r="G19" s="40">
        <f t="shared" si="5"/>
        <v>366.681914790002</v>
      </c>
      <c r="H19" s="40">
        <f t="shared" si="5"/>
        <v>305.412132726137</v>
      </c>
      <c r="I19" s="40">
        <f t="shared" si="5"/>
        <v>238.628070276524</v>
      </c>
      <c r="J19" s="40">
        <f t="shared" si="5"/>
        <v>165.833442206446</v>
      </c>
      <c r="K19" s="40">
        <f t="shared" si="5"/>
        <v>86.4872976100607</v>
      </c>
      <c r="L19" s="40">
        <f t="shared" si="5"/>
        <v>7.8159700933611e-13</v>
      </c>
      <c r="M19" s="40"/>
    </row>
  </sheetData>
  <mergeCells count="1">
    <mergeCell ref="F4:J4"/>
  </mergeCell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L20"/>
  <sheetViews>
    <sheetView showGridLines="0" zoomScale="67" zoomScaleNormal="67" workbookViewId="0">
      <selection activeCell="B5" sqref="B5"/>
    </sheetView>
  </sheetViews>
  <sheetFormatPr defaultColWidth="8.88888888888889" defaultRowHeight="14.4"/>
  <cols>
    <col min="1" max="1" width="2.02777777777778" style="13" customWidth="1"/>
    <col min="2" max="2" width="21.9722222222222" style="13" customWidth="1"/>
    <col min="3" max="3" width="9.33333333333333" style="13"/>
    <col min="4" max="4" width="11.9444444444444" style="13" customWidth="1"/>
    <col min="5" max="5" width="12.0648148148148" style="13" customWidth="1"/>
    <col min="6" max="6" width="11.8240740740741" style="13" customWidth="1"/>
    <col min="7" max="10" width="14.1111111111111" style="13"/>
    <col min="11" max="16384" width="8.88888888888889" style="13"/>
  </cols>
  <sheetData>
    <row r="2" ht="17.4" spans="2:2">
      <c r="B2" s="23" t="s">
        <v>98</v>
      </c>
    </row>
    <row r="4" ht="17.4" spans="2:10">
      <c r="B4" s="23"/>
      <c r="C4" s="31"/>
      <c r="D4" s="31"/>
      <c r="E4" s="31"/>
      <c r="F4" s="24" t="s">
        <v>7</v>
      </c>
      <c r="G4" s="24"/>
      <c r="H4" s="24"/>
      <c r="I4" s="24"/>
      <c r="J4" s="24"/>
    </row>
    <row r="5" ht="15.15" spans="2:10">
      <c r="B5" s="25" t="s">
        <v>30</v>
      </c>
      <c r="C5" s="3">
        <v>42004</v>
      </c>
      <c r="D5" s="3">
        <v>42369</v>
      </c>
      <c r="E5" s="3">
        <v>42735</v>
      </c>
      <c r="F5" s="3">
        <f t="shared" ref="F5:H5" si="0">E5+365</f>
        <v>43100</v>
      </c>
      <c r="G5" s="3">
        <f t="shared" si="0"/>
        <v>43465</v>
      </c>
      <c r="H5" s="3">
        <f t="shared" si="0"/>
        <v>43830</v>
      </c>
      <c r="I5" s="3">
        <f>H5+366</f>
        <v>44196</v>
      </c>
      <c r="J5" s="3">
        <f>I5+365</f>
        <v>44561</v>
      </c>
    </row>
    <row r="6" spans="2:10">
      <c r="B6" s="13" t="s">
        <v>99</v>
      </c>
      <c r="C6" s="32"/>
      <c r="D6" s="32"/>
      <c r="E6" s="32"/>
      <c r="F6" s="33">
        <f>E10</f>
        <v>485.3</v>
      </c>
      <c r="G6" s="33">
        <f>F10</f>
        <v>691.015550592885</v>
      </c>
      <c r="H6" s="33">
        <f>G10</f>
        <v>905.086955156424</v>
      </c>
      <c r="I6" s="33">
        <f>H10</f>
        <v>1127.85194570295</v>
      </c>
      <c r="J6" s="33">
        <f>I10</f>
        <v>1359.66600205867</v>
      </c>
    </row>
    <row r="7" spans="2:10">
      <c r="B7" s="13" t="s">
        <v>100</v>
      </c>
      <c r="C7" s="32"/>
      <c r="D7" s="32"/>
      <c r="E7" s="32"/>
      <c r="F7" s="33">
        <v>0</v>
      </c>
      <c r="G7" s="33">
        <v>0</v>
      </c>
      <c r="H7" s="33">
        <v>0</v>
      </c>
      <c r="I7" s="33">
        <v>0</v>
      </c>
      <c r="J7" s="33">
        <v>0</v>
      </c>
    </row>
    <row r="8" spans="2:10">
      <c r="B8" s="13" t="s">
        <v>101</v>
      </c>
      <c r="C8" s="32"/>
      <c r="D8" s="32"/>
      <c r="E8" s="32"/>
      <c r="F8" s="33">
        <f>'P&amp;L'!I15</f>
        <v>342.859250988142</v>
      </c>
      <c r="G8" s="33">
        <f>'P&amp;L'!J15</f>
        <v>356.785674272564</v>
      </c>
      <c r="H8" s="33">
        <f>'P&amp;L'!K15</f>
        <v>371.274984244213</v>
      </c>
      <c r="I8" s="33">
        <f>'P&amp;L'!L15</f>
        <v>386.356760592856</v>
      </c>
      <c r="J8" s="33">
        <f>'P&amp;L'!M15</f>
        <v>402.062604978569</v>
      </c>
    </row>
    <row r="9" spans="2:11">
      <c r="B9" s="13" t="s">
        <v>102</v>
      </c>
      <c r="C9" s="32"/>
      <c r="D9" s="32"/>
      <c r="E9" s="32"/>
      <c r="F9" s="33">
        <f>-IF(F8&gt;0,F8*F12,0)</f>
        <v>-137.143700395257</v>
      </c>
      <c r="G9" s="33">
        <f>-IF(G8&gt;0,G8*G12,0)</f>
        <v>-142.714269709026</v>
      </c>
      <c r="H9" s="33">
        <f>-IF(H8&gt;0,H8*H12,0)</f>
        <v>-148.509993697685</v>
      </c>
      <c r="I9" s="33">
        <f>-IF(I8&gt;0,I8*I12,0)</f>
        <v>-154.542704237142</v>
      </c>
      <c r="J9" s="33">
        <f>-IF(J8&gt;0,J8*J12,0)</f>
        <v>-160.825041991428</v>
      </c>
      <c r="K9" s="33"/>
    </row>
    <row r="10" ht="15.15" spans="2:10">
      <c r="B10" s="30" t="s">
        <v>103</v>
      </c>
      <c r="C10" s="30"/>
      <c r="D10" s="30"/>
      <c r="E10" s="30">
        <f>BS!E18</f>
        <v>485.3</v>
      </c>
      <c r="F10" s="30">
        <f>SUM(F6:F9)</f>
        <v>691.015550592885</v>
      </c>
      <c r="G10" s="30">
        <f>SUM(G6:G9)</f>
        <v>905.086955156424</v>
      </c>
      <c r="H10" s="30">
        <f>SUM(H6:H9)</f>
        <v>1127.85194570295</v>
      </c>
      <c r="I10" s="30">
        <f>SUM(I6:I9)</f>
        <v>1359.66600205867</v>
      </c>
      <c r="J10" s="30">
        <f>SUM(J6:J9)</f>
        <v>1600.90356504581</v>
      </c>
    </row>
    <row r="12" spans="2:10">
      <c r="B12" s="34" t="s">
        <v>104</v>
      </c>
      <c r="C12" s="34"/>
      <c r="D12" s="34"/>
      <c r="E12" s="34"/>
      <c r="F12" s="35">
        <v>0.4</v>
      </c>
      <c r="G12" s="35">
        <v>0.4</v>
      </c>
      <c r="H12" s="35">
        <v>0.4</v>
      </c>
      <c r="I12" s="35">
        <v>0.4</v>
      </c>
      <c r="J12" s="35">
        <v>0.4</v>
      </c>
    </row>
    <row r="13" spans="10:10">
      <c r="J13" s="36"/>
    </row>
    <row r="17" spans="10:12">
      <c r="J17" s="33"/>
      <c r="K17" s="33"/>
      <c r="L17" s="33"/>
    </row>
    <row r="18" spans="10:12">
      <c r="J18" s="33"/>
      <c r="K18" s="33"/>
      <c r="L18" s="33"/>
    </row>
    <row r="19" spans="10:12">
      <c r="J19" s="33"/>
      <c r="K19" s="33"/>
      <c r="L19" s="33"/>
    </row>
    <row r="20" spans="10:12">
      <c r="J20" s="33"/>
      <c r="K20" s="33"/>
      <c r="L20" s="33"/>
    </row>
  </sheetData>
  <mergeCells count="1">
    <mergeCell ref="F4:J4"/>
  </mergeCells>
  <pageMargins left="0.75" right="0.75" top="1" bottom="1" header="0.5" footer="0.5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0"/>
  <sheetViews>
    <sheetView showGridLines="0" zoomScale="75" zoomScaleNormal="75" workbookViewId="0">
      <selection activeCell="B5" sqref="B5"/>
    </sheetView>
  </sheetViews>
  <sheetFormatPr defaultColWidth="8.88888888888889" defaultRowHeight="14.4" outlineLevelCol="6"/>
  <cols>
    <col min="1" max="1" width="2.02777777777778" customWidth="1"/>
    <col min="2" max="2" width="29.5555555555556" customWidth="1"/>
  </cols>
  <sheetData>
    <row r="2" ht="17.4" spans="2:2">
      <c r="B2" s="23" t="s">
        <v>105</v>
      </c>
    </row>
    <row r="3" ht="17.4" spans="2:2">
      <c r="B3" s="23"/>
    </row>
    <row r="4" spans="3:7">
      <c r="C4" s="24" t="s">
        <v>7</v>
      </c>
      <c r="D4" s="24"/>
      <c r="E4" s="24"/>
      <c r="F4" s="24"/>
      <c r="G4" s="24"/>
    </row>
    <row r="5" ht="15.15" spans="2:7">
      <c r="B5" s="25" t="s">
        <v>30</v>
      </c>
      <c r="C5" s="26">
        <v>2017</v>
      </c>
      <c r="D5" s="26">
        <v>2018</v>
      </c>
      <c r="E5" s="26">
        <v>2019</v>
      </c>
      <c r="F5" s="26">
        <v>2020</v>
      </c>
      <c r="G5" s="26">
        <v>2021</v>
      </c>
    </row>
    <row r="6" spans="2:7">
      <c r="B6" t="s">
        <v>4</v>
      </c>
      <c r="C6" s="27">
        <f>'P&amp;L'!I9</f>
        <v>626.24</v>
      </c>
      <c r="D6" s="27">
        <f>'P&amp;L'!J9</f>
        <v>645.0272</v>
      </c>
      <c r="E6" s="27">
        <f>'P&amp;L'!K9</f>
        <v>664.378016</v>
      </c>
      <c r="F6" s="27">
        <f>'P&amp;L'!L9</f>
        <v>684.30935648</v>
      </c>
      <c r="G6" s="27">
        <f>'P&amp;L'!M9</f>
        <v>704.8386371744</v>
      </c>
    </row>
    <row r="7" spans="2:7">
      <c r="B7" t="s">
        <v>95</v>
      </c>
      <c r="C7" s="27">
        <f>'P&amp;L'!I12</f>
        <v>-54.45</v>
      </c>
      <c r="D7" s="27">
        <f>'P&amp;L'!J12</f>
        <v>-50.8660961044531</v>
      </c>
      <c r="E7" s="27">
        <f>'P&amp;L'!K12</f>
        <v>-46.959640858307</v>
      </c>
      <c r="F7" s="27">
        <f>'P&amp;L'!L12</f>
        <v>-42.7016046400077</v>
      </c>
      <c r="G7" s="27">
        <f>'P&amp;L'!M12</f>
        <v>-38.0603451620616</v>
      </c>
    </row>
    <row r="8" spans="2:7">
      <c r="B8" t="s">
        <v>40</v>
      </c>
      <c r="C8" s="27">
        <f>'P&amp;L'!I14</f>
        <v>-184.616519762846</v>
      </c>
      <c r="D8" s="27">
        <f>'P&amp;L'!J14</f>
        <v>-192.115363069842</v>
      </c>
      <c r="E8" s="27">
        <f>'P&amp;L'!K14</f>
        <v>-199.917299208422</v>
      </c>
      <c r="F8" s="27">
        <f>'P&amp;L'!L14</f>
        <v>-208.038255703846</v>
      </c>
      <c r="G8" s="27">
        <f>'P&amp;L'!M14</f>
        <v>-216.495248834614</v>
      </c>
    </row>
    <row r="9" spans="2:7">
      <c r="B9" t="s">
        <v>106</v>
      </c>
      <c r="C9" s="27">
        <f>-(BS!F7-BS!E7)</f>
        <v>5.62742063566336</v>
      </c>
      <c r="D9" s="27">
        <f>-(BS!G7-BS!F7)</f>
        <v>-4.91017738093004</v>
      </c>
      <c r="E9" s="27">
        <f>-(BS!H7-BS!G7)</f>
        <v>-5.05748270235802</v>
      </c>
      <c r="F9" s="27">
        <f>-(BS!I7-BS!H7)</f>
        <v>-5.20920718342876</v>
      </c>
      <c r="G9" s="27">
        <f>-(BS!J7-BS!I7)</f>
        <v>-5.36548339893162</v>
      </c>
    </row>
    <row r="10" spans="2:7">
      <c r="B10" t="s">
        <v>66</v>
      </c>
      <c r="C10" s="28">
        <f>-(BS!F8-BS!E8)</f>
        <v>12.4656963567617</v>
      </c>
      <c r="D10" s="28">
        <f>-(BS!G8-BS!F8)</f>
        <v>-2.92602910929715</v>
      </c>
      <c r="E10" s="28">
        <f>-(BS!H8-BS!G8)</f>
        <v>-3.01380998257608</v>
      </c>
      <c r="F10" s="28">
        <f>-(BS!I8-BS!H8)</f>
        <v>-3.10422428205334</v>
      </c>
      <c r="G10" s="28">
        <f>-(BS!J8-BS!I8)</f>
        <v>-3.19735101051495</v>
      </c>
    </row>
    <row r="11" spans="2:7">
      <c r="B11" t="s">
        <v>107</v>
      </c>
      <c r="C11" s="28">
        <f>BS!F14-BS!E14</f>
        <v>0.968814266268652</v>
      </c>
      <c r="D11" s="28">
        <f>BS!G14-BS!F14</f>
        <v>2.09606442798807</v>
      </c>
      <c r="E11" s="28">
        <f>BS!H14-BS!G14</f>
        <v>2.1589463608277</v>
      </c>
      <c r="F11" s="28">
        <f>BS!I14-BS!H14</f>
        <v>2.22371475165252</v>
      </c>
      <c r="G11" s="28">
        <f>BS!J14-BS!I14</f>
        <v>2.29042619420211</v>
      </c>
    </row>
    <row r="12" spans="2:7">
      <c r="B12" t="s">
        <v>108</v>
      </c>
      <c r="C12" s="27">
        <f>-(BS!F11-BS!E11)</f>
        <v>11.853411028107</v>
      </c>
      <c r="D12" s="27">
        <f>-(BS!G11-BS!F11)</f>
        <v>-1.68439766915665</v>
      </c>
      <c r="E12" s="27">
        <f>-(BS!H11-BS!G11)</f>
        <v>-1.73492959923149</v>
      </c>
      <c r="F12" s="27">
        <f>-(BS!I11-BS!H11)</f>
        <v>-1.78697748720844</v>
      </c>
      <c r="G12" s="27">
        <f>-(BS!J11-BS!I11)</f>
        <v>-1.84058681182469</v>
      </c>
    </row>
    <row r="13" spans="2:7">
      <c r="B13" t="s">
        <v>109</v>
      </c>
      <c r="C13" s="27">
        <f>BS!F17-BS!E17</f>
        <v>6.85366909990397</v>
      </c>
      <c r="D13" s="27">
        <f>BS!G17-BS!F17</f>
        <v>1.37261007299727</v>
      </c>
      <c r="E13" s="27">
        <f>BS!H17-BS!G17</f>
        <v>1.41378837518704</v>
      </c>
      <c r="F13" s="27">
        <f>BS!I17-BS!H17</f>
        <v>1.45620202644265</v>
      </c>
      <c r="G13" s="27">
        <f>BS!J17-BS!I17</f>
        <v>1.49988808723593</v>
      </c>
    </row>
    <row r="14" spans="2:7">
      <c r="B14" t="s">
        <v>83</v>
      </c>
      <c r="C14" s="27">
        <f>-'PP&amp;E'!F8</f>
        <v>-58.3905138339921</v>
      </c>
      <c r="D14" s="27">
        <f>-'PP&amp;E'!G8</f>
        <v>-59.6367935759034</v>
      </c>
      <c r="E14" s="27">
        <f>-'PP&amp;E'!H8</f>
        <v>-60.9096737549938</v>
      </c>
      <c r="F14" s="27">
        <f>-'PP&amp;E'!I8</f>
        <v>-62.2097221276301</v>
      </c>
      <c r="G14" s="27">
        <f>-'PP&amp;E'!J8</f>
        <v>-63.5375185682988</v>
      </c>
    </row>
    <row r="15" spans="2:7">
      <c r="B15" s="29" t="s">
        <v>110</v>
      </c>
      <c r="C15" s="29">
        <f>SUM(C6:C14)</f>
        <v>366.551977789867</v>
      </c>
      <c r="D15" s="29">
        <f>SUM(D6:D14)</f>
        <v>336.357017591403</v>
      </c>
      <c r="E15" s="29">
        <f>SUM(E6:E14)</f>
        <v>350.357914630126</v>
      </c>
      <c r="F15" s="29">
        <f>SUM(F6:F14)</f>
        <v>364.939281833921</v>
      </c>
      <c r="G15" s="29">
        <f>SUM(G6:G14)</f>
        <v>380.132417669592</v>
      </c>
    </row>
    <row r="16" spans="2:7">
      <c r="B16" t="s">
        <v>102</v>
      </c>
      <c r="C16" s="27">
        <f>Equity!F9</f>
        <v>-137.143700395257</v>
      </c>
      <c r="D16" s="27">
        <f>Equity!G9</f>
        <v>-142.714269709026</v>
      </c>
      <c r="E16" s="27">
        <f>Equity!H9</f>
        <v>-148.509993697685</v>
      </c>
      <c r="F16" s="27">
        <f>Equity!I9</f>
        <v>-154.542704237142</v>
      </c>
      <c r="G16" s="27">
        <f>Equity!J9</f>
        <v>-160.825041991428</v>
      </c>
    </row>
    <row r="17" spans="2:7">
      <c r="B17" t="s">
        <v>111</v>
      </c>
      <c r="C17" s="27">
        <f>BS!F16-BS!E16</f>
        <v>-39.8211543949654</v>
      </c>
      <c r="D17" s="27">
        <f>BS!G16-BS!F16</f>
        <v>-43.4050582905123</v>
      </c>
      <c r="E17" s="27">
        <f>BS!H16-BS!G16</f>
        <v>-47.3115135366584</v>
      </c>
      <c r="F17" s="27">
        <f>BS!I16-BS!H16</f>
        <v>-51.5695497549576</v>
      </c>
      <c r="G17" s="27">
        <f>BS!J16-BS!I16</f>
        <v>-56.2108092329038</v>
      </c>
    </row>
    <row r="18" spans="2:7">
      <c r="B18" t="s">
        <v>112</v>
      </c>
      <c r="C18">
        <f>BS!F15-BS!E15</f>
        <v>0</v>
      </c>
      <c r="D18">
        <f>BS!G15-BS!F15</f>
        <v>0</v>
      </c>
      <c r="E18">
        <f>BS!H15-BS!G15</f>
        <v>0</v>
      </c>
      <c r="F18">
        <f>BS!I15-BS!H15</f>
        <v>0</v>
      </c>
      <c r="G18">
        <f>BS!J15-BS!I15</f>
        <v>0</v>
      </c>
    </row>
    <row r="19" spans="2:7">
      <c r="B19" t="s">
        <v>113</v>
      </c>
      <c r="C19" s="27">
        <f>BS!F18-BS!E18-Equity!F9-Equity!F8</f>
        <v>0</v>
      </c>
      <c r="D19" s="27">
        <f>BS!G18-BS!F18-Equity!G9-Equity!G8</f>
        <v>0</v>
      </c>
      <c r="E19" s="27">
        <f>BS!H18-BS!G18-Equity!H9-Equity!H8</f>
        <v>0</v>
      </c>
      <c r="F19" s="27">
        <f>BS!I18-BS!H18-Equity!I9-Equity!I8</f>
        <v>0</v>
      </c>
      <c r="G19" s="27">
        <f>BS!J18-BS!I18-Equity!J9-Equity!J8</f>
        <v>0</v>
      </c>
    </row>
    <row r="20" ht="15.15" spans="2:7">
      <c r="B20" s="30" t="s">
        <v>114</v>
      </c>
      <c r="C20" s="30">
        <f>SUM(C15:C19)</f>
        <v>189.587122999644</v>
      </c>
      <c r="D20" s="30">
        <f>SUM(D15:D19)</f>
        <v>150.237689591865</v>
      </c>
      <c r="E20" s="30">
        <f>SUM(E15:E19)</f>
        <v>154.536407395783</v>
      </c>
      <c r="F20" s="30">
        <f>SUM(F15:F19)</f>
        <v>158.827027841821</v>
      </c>
      <c r="G20" s="30">
        <f>SUM(G15:G19)</f>
        <v>163.096566445261</v>
      </c>
    </row>
  </sheetData>
  <mergeCells count="1">
    <mergeCell ref="C4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438"/>
  <sheetViews>
    <sheetView workbookViewId="0">
      <selection activeCell="C1" sqref="C$1:C$1048576"/>
    </sheetView>
  </sheetViews>
  <sheetFormatPr defaultColWidth="9" defaultRowHeight="14.4" outlineLevelCol="5"/>
  <cols>
    <col min="2" max="2" width="14.5740740740741" customWidth="1"/>
    <col min="3" max="3" width="14.5740740740741" style="20" customWidth="1"/>
    <col min="4" max="4" width="38.1388888888889" customWidth="1"/>
    <col min="6" max="6" width="20" customWidth="1"/>
  </cols>
  <sheetData>
    <row r="3" spans="2:6">
      <c r="B3" t="s">
        <v>115</v>
      </c>
      <c r="C3" s="20" t="s">
        <v>116</v>
      </c>
      <c r="D3" t="s">
        <v>117</v>
      </c>
      <c r="E3" s="16" t="s">
        <v>118</v>
      </c>
      <c r="F3" t="s">
        <v>119</v>
      </c>
    </row>
    <row r="4" spans="2:6">
      <c r="B4" s="17">
        <v>41640</v>
      </c>
      <c r="C4" s="21">
        <f>YEAR(B4)</f>
        <v>2014</v>
      </c>
      <c r="D4" s="18" t="s">
        <v>120</v>
      </c>
      <c r="E4" s="16">
        <v>72</v>
      </c>
      <c r="F4" t="s">
        <v>3</v>
      </c>
    </row>
    <row r="5" spans="2:6">
      <c r="B5" s="17">
        <v>41640</v>
      </c>
      <c r="C5" s="21">
        <f t="shared" ref="C5:C68" si="0">YEAR(B5)</f>
        <v>2014</v>
      </c>
      <c r="D5" s="18" t="s">
        <v>121</v>
      </c>
      <c r="E5" s="16">
        <v>47</v>
      </c>
      <c r="F5" t="s">
        <v>33</v>
      </c>
    </row>
    <row r="6" spans="2:6">
      <c r="B6" s="17">
        <v>41640</v>
      </c>
      <c r="C6" s="21">
        <f t="shared" si="0"/>
        <v>2014</v>
      </c>
      <c r="D6" s="18" t="s">
        <v>122</v>
      </c>
      <c r="E6" s="16">
        <v>37</v>
      </c>
      <c r="F6" t="s">
        <v>3</v>
      </c>
    </row>
    <row r="7" spans="2:6">
      <c r="B7" s="17">
        <v>41640</v>
      </c>
      <c r="C7" s="21">
        <f t="shared" si="0"/>
        <v>2014</v>
      </c>
      <c r="D7" s="18" t="s">
        <v>123</v>
      </c>
      <c r="E7" s="16">
        <v>20</v>
      </c>
      <c r="F7" t="s">
        <v>33</v>
      </c>
    </row>
    <row r="8" spans="2:6">
      <c r="B8" s="17">
        <v>41640</v>
      </c>
      <c r="C8" s="21">
        <f t="shared" si="0"/>
        <v>2014</v>
      </c>
      <c r="D8" s="18" t="s">
        <v>124</v>
      </c>
      <c r="E8" s="16">
        <v>36</v>
      </c>
      <c r="F8" t="s">
        <v>3</v>
      </c>
    </row>
    <row r="9" spans="2:6">
      <c r="B9" s="17">
        <v>41640</v>
      </c>
      <c r="C9" s="21">
        <f t="shared" si="0"/>
        <v>2014</v>
      </c>
      <c r="D9" s="18" t="s">
        <v>125</v>
      </c>
      <c r="E9" s="16">
        <v>17</v>
      </c>
      <c r="F9" t="s">
        <v>33</v>
      </c>
    </row>
    <row r="10" spans="2:6">
      <c r="B10" s="17">
        <v>41640</v>
      </c>
      <c r="C10" s="21">
        <f t="shared" si="0"/>
        <v>2014</v>
      </c>
      <c r="D10" s="18" t="s">
        <v>126</v>
      </c>
      <c r="E10" s="16">
        <v>57</v>
      </c>
      <c r="F10" t="s">
        <v>3</v>
      </c>
    </row>
    <row r="11" spans="2:6">
      <c r="B11" s="17">
        <v>41640</v>
      </c>
      <c r="C11" s="21">
        <f t="shared" si="0"/>
        <v>2014</v>
      </c>
      <c r="D11" s="18" t="s">
        <v>127</v>
      </c>
      <c r="E11" s="16">
        <v>32</v>
      </c>
      <c r="F11" t="s">
        <v>33</v>
      </c>
    </row>
    <row r="12" spans="2:6">
      <c r="B12" s="17">
        <v>41640</v>
      </c>
      <c r="C12" s="21">
        <f t="shared" si="0"/>
        <v>2014</v>
      </c>
      <c r="D12" s="18" t="s">
        <v>35</v>
      </c>
      <c r="E12" s="16">
        <v>95.4</v>
      </c>
      <c r="F12" t="s">
        <v>35</v>
      </c>
    </row>
    <row r="13" spans="2:6">
      <c r="B13" s="17">
        <v>41640</v>
      </c>
      <c r="C13" s="21">
        <f t="shared" si="0"/>
        <v>2014</v>
      </c>
      <c r="D13" s="18" t="s">
        <v>36</v>
      </c>
      <c r="E13" s="16">
        <v>2</v>
      </c>
      <c r="F13" t="s">
        <v>36</v>
      </c>
    </row>
    <row r="14" spans="2:6">
      <c r="B14" s="17">
        <v>41640</v>
      </c>
      <c r="C14" s="21">
        <f t="shared" si="0"/>
        <v>2014</v>
      </c>
      <c r="D14" s="18" t="s">
        <v>38</v>
      </c>
      <c r="E14" s="16">
        <v>5</v>
      </c>
      <c r="F14" t="s">
        <v>38</v>
      </c>
    </row>
    <row r="15" spans="2:6">
      <c r="B15" s="17">
        <v>41640</v>
      </c>
      <c r="C15" s="21">
        <f t="shared" si="0"/>
        <v>2014</v>
      </c>
      <c r="D15" s="18" t="s">
        <v>40</v>
      </c>
      <c r="E15" s="19">
        <v>17.29</v>
      </c>
      <c r="F15" s="18" t="s">
        <v>40</v>
      </c>
    </row>
    <row r="16" spans="2:6">
      <c r="B16" s="17">
        <v>41671</v>
      </c>
      <c r="C16" s="21">
        <f t="shared" si="0"/>
        <v>2014</v>
      </c>
      <c r="D16" s="18" t="s">
        <v>120</v>
      </c>
      <c r="E16" s="16">
        <v>75</v>
      </c>
      <c r="F16" t="s">
        <v>3</v>
      </c>
    </row>
    <row r="17" spans="2:6">
      <c r="B17" s="17">
        <v>41671</v>
      </c>
      <c r="C17" s="21">
        <f t="shared" si="0"/>
        <v>2014</v>
      </c>
      <c r="D17" s="18" t="s">
        <v>121</v>
      </c>
      <c r="E17" s="16">
        <v>55</v>
      </c>
      <c r="F17" t="s">
        <v>33</v>
      </c>
    </row>
    <row r="18" spans="2:6">
      <c r="B18" s="17">
        <v>41671</v>
      </c>
      <c r="C18" s="21">
        <f t="shared" si="0"/>
        <v>2014</v>
      </c>
      <c r="D18" s="18" t="s">
        <v>122</v>
      </c>
      <c r="E18" s="16">
        <v>26</v>
      </c>
      <c r="F18" t="s">
        <v>3</v>
      </c>
    </row>
    <row r="19" spans="2:6">
      <c r="B19" s="17">
        <v>41671</v>
      </c>
      <c r="C19" s="21">
        <f t="shared" si="0"/>
        <v>2014</v>
      </c>
      <c r="D19" s="18" t="s">
        <v>123</v>
      </c>
      <c r="E19" s="16">
        <v>18</v>
      </c>
      <c r="F19" t="s">
        <v>33</v>
      </c>
    </row>
    <row r="20" spans="2:6">
      <c r="B20" s="17">
        <v>41671</v>
      </c>
      <c r="C20" s="21">
        <f t="shared" si="0"/>
        <v>2014</v>
      </c>
      <c r="D20" s="18" t="s">
        <v>124</v>
      </c>
      <c r="E20" s="16">
        <v>42</v>
      </c>
      <c r="F20" t="s">
        <v>3</v>
      </c>
    </row>
    <row r="21" spans="2:6">
      <c r="B21" s="17">
        <v>41671</v>
      </c>
      <c r="C21" s="21">
        <f t="shared" si="0"/>
        <v>2014</v>
      </c>
      <c r="D21" s="18" t="s">
        <v>125</v>
      </c>
      <c r="E21" s="16">
        <v>18</v>
      </c>
      <c r="F21" t="s">
        <v>33</v>
      </c>
    </row>
    <row r="22" spans="2:6">
      <c r="B22" s="17">
        <v>41671</v>
      </c>
      <c r="C22" s="21">
        <f t="shared" si="0"/>
        <v>2014</v>
      </c>
      <c r="D22" s="18" t="s">
        <v>126</v>
      </c>
      <c r="E22" s="16">
        <v>54</v>
      </c>
      <c r="F22" t="s">
        <v>3</v>
      </c>
    </row>
    <row r="23" spans="2:6">
      <c r="B23" s="17">
        <v>41671</v>
      </c>
      <c r="C23" s="21">
        <f t="shared" si="0"/>
        <v>2014</v>
      </c>
      <c r="D23" s="18" t="s">
        <v>127</v>
      </c>
      <c r="E23" s="16">
        <v>33</v>
      </c>
      <c r="F23" t="s">
        <v>33</v>
      </c>
    </row>
    <row r="24" spans="2:6">
      <c r="B24" s="17">
        <v>41671</v>
      </c>
      <c r="C24" s="21">
        <f t="shared" si="0"/>
        <v>2014</v>
      </c>
      <c r="D24" s="18" t="s">
        <v>35</v>
      </c>
      <c r="E24" s="16">
        <v>96.3</v>
      </c>
      <c r="F24" t="s">
        <v>35</v>
      </c>
    </row>
    <row r="25" spans="2:6">
      <c r="B25" s="17">
        <v>41671</v>
      </c>
      <c r="C25" s="21">
        <f t="shared" si="0"/>
        <v>2014</v>
      </c>
      <c r="D25" s="18" t="s">
        <v>36</v>
      </c>
      <c r="E25" s="16">
        <v>2</v>
      </c>
      <c r="F25" t="s">
        <v>36</v>
      </c>
    </row>
    <row r="26" spans="2:6">
      <c r="B26" s="17">
        <v>41671</v>
      </c>
      <c r="C26" s="21">
        <f t="shared" si="0"/>
        <v>2014</v>
      </c>
      <c r="D26" s="18" t="s">
        <v>38</v>
      </c>
      <c r="E26" s="16">
        <v>5</v>
      </c>
      <c r="F26" t="s">
        <v>38</v>
      </c>
    </row>
    <row r="27" spans="2:6">
      <c r="B27" s="17">
        <v>41671</v>
      </c>
      <c r="C27" s="21">
        <f t="shared" si="0"/>
        <v>2014</v>
      </c>
      <c r="D27" s="18" t="s">
        <v>40</v>
      </c>
      <c r="E27" s="19">
        <v>17</v>
      </c>
      <c r="F27" s="18" t="s">
        <v>40</v>
      </c>
    </row>
    <row r="28" spans="2:6">
      <c r="B28" s="17">
        <v>41699</v>
      </c>
      <c r="C28" s="21">
        <f t="shared" si="0"/>
        <v>2014</v>
      </c>
      <c r="D28" s="18" t="s">
        <v>120</v>
      </c>
      <c r="E28" s="16">
        <v>69</v>
      </c>
      <c r="F28" t="s">
        <v>3</v>
      </c>
    </row>
    <row r="29" spans="2:6">
      <c r="B29" s="17">
        <v>41699</v>
      </c>
      <c r="C29" s="21">
        <f t="shared" si="0"/>
        <v>2014</v>
      </c>
      <c r="D29" s="18" t="s">
        <v>121</v>
      </c>
      <c r="E29" s="16">
        <v>58</v>
      </c>
      <c r="F29" t="s">
        <v>33</v>
      </c>
    </row>
    <row r="30" spans="2:6">
      <c r="B30" s="17">
        <v>41699</v>
      </c>
      <c r="C30" s="21">
        <f t="shared" si="0"/>
        <v>2014</v>
      </c>
      <c r="D30" s="18" t="s">
        <v>122</v>
      </c>
      <c r="E30" s="16">
        <v>32</v>
      </c>
      <c r="F30" t="s">
        <v>3</v>
      </c>
    </row>
    <row r="31" spans="2:6">
      <c r="B31" s="17">
        <v>41699</v>
      </c>
      <c r="C31" s="21">
        <f t="shared" si="0"/>
        <v>2014</v>
      </c>
      <c r="D31" s="18" t="s">
        <v>123</v>
      </c>
      <c r="E31" s="16">
        <v>12</v>
      </c>
      <c r="F31" t="s">
        <v>33</v>
      </c>
    </row>
    <row r="32" spans="2:6">
      <c r="B32" s="17">
        <v>41699</v>
      </c>
      <c r="C32" s="21">
        <f t="shared" si="0"/>
        <v>2014</v>
      </c>
      <c r="D32" s="18" t="s">
        <v>124</v>
      </c>
      <c r="E32" s="16">
        <v>41</v>
      </c>
      <c r="F32" t="s">
        <v>3</v>
      </c>
    </row>
    <row r="33" spans="2:6">
      <c r="B33" s="17">
        <v>41699</v>
      </c>
      <c r="C33" s="21">
        <f t="shared" si="0"/>
        <v>2014</v>
      </c>
      <c r="D33" s="18" t="s">
        <v>125</v>
      </c>
      <c r="E33" s="16">
        <v>11</v>
      </c>
      <c r="F33" t="s">
        <v>33</v>
      </c>
    </row>
    <row r="34" spans="2:6">
      <c r="B34" s="17">
        <v>41699</v>
      </c>
      <c r="C34" s="21">
        <f t="shared" si="0"/>
        <v>2014</v>
      </c>
      <c r="D34" s="18" t="s">
        <v>126</v>
      </c>
      <c r="E34" s="16">
        <v>64</v>
      </c>
      <c r="F34" t="s">
        <v>3</v>
      </c>
    </row>
    <row r="35" spans="2:6">
      <c r="B35" s="17">
        <v>41699</v>
      </c>
      <c r="C35" s="21">
        <f t="shared" si="0"/>
        <v>2014</v>
      </c>
      <c r="D35" s="18" t="s">
        <v>127</v>
      </c>
      <c r="E35" s="16">
        <v>35</v>
      </c>
      <c r="F35" t="s">
        <v>33</v>
      </c>
    </row>
    <row r="36" spans="2:6">
      <c r="B36" s="17">
        <v>41699</v>
      </c>
      <c r="C36" s="21">
        <f t="shared" si="0"/>
        <v>2014</v>
      </c>
      <c r="D36" s="18" t="s">
        <v>35</v>
      </c>
      <c r="E36" s="16">
        <v>96.6</v>
      </c>
      <c r="F36" t="s">
        <v>35</v>
      </c>
    </row>
    <row r="37" spans="2:6">
      <c r="B37" s="17">
        <v>41699</v>
      </c>
      <c r="C37" s="21">
        <f t="shared" si="0"/>
        <v>2014</v>
      </c>
      <c r="D37" s="18" t="s">
        <v>36</v>
      </c>
      <c r="E37" s="16">
        <v>3</v>
      </c>
      <c r="F37" t="s">
        <v>36</v>
      </c>
    </row>
    <row r="38" spans="2:6">
      <c r="B38" s="17">
        <v>41699</v>
      </c>
      <c r="C38" s="21">
        <f t="shared" si="0"/>
        <v>2014</v>
      </c>
      <c r="D38" s="18" t="s">
        <v>38</v>
      </c>
      <c r="E38" s="16">
        <v>5</v>
      </c>
      <c r="F38" t="s">
        <v>38</v>
      </c>
    </row>
    <row r="39" spans="2:6">
      <c r="B39" s="17">
        <v>41699</v>
      </c>
      <c r="C39" s="21">
        <f t="shared" si="0"/>
        <v>2014</v>
      </c>
      <c r="D39" s="18" t="s">
        <v>40</v>
      </c>
      <c r="E39" s="19">
        <v>17.85</v>
      </c>
      <c r="F39" s="18" t="s">
        <v>40</v>
      </c>
    </row>
    <row r="40" spans="2:6">
      <c r="B40" s="17">
        <v>41730</v>
      </c>
      <c r="C40" s="21">
        <f t="shared" si="0"/>
        <v>2014</v>
      </c>
      <c r="D40" s="18" t="s">
        <v>120</v>
      </c>
      <c r="E40" s="16">
        <v>68</v>
      </c>
      <c r="F40" t="s">
        <v>3</v>
      </c>
    </row>
    <row r="41" spans="2:6">
      <c r="B41" s="17">
        <v>41730</v>
      </c>
      <c r="C41" s="21">
        <f t="shared" si="0"/>
        <v>2014</v>
      </c>
      <c r="D41" s="18" t="s">
        <v>121</v>
      </c>
      <c r="E41" s="16">
        <v>50</v>
      </c>
      <c r="F41" t="s">
        <v>33</v>
      </c>
    </row>
    <row r="42" spans="2:6">
      <c r="B42" s="17">
        <v>41730</v>
      </c>
      <c r="C42" s="21">
        <f t="shared" si="0"/>
        <v>2014</v>
      </c>
      <c r="D42" s="18" t="s">
        <v>122</v>
      </c>
      <c r="E42" s="16">
        <v>29</v>
      </c>
      <c r="F42" t="s">
        <v>3</v>
      </c>
    </row>
    <row r="43" spans="2:6">
      <c r="B43" s="17">
        <v>41730</v>
      </c>
      <c r="C43" s="21">
        <f t="shared" si="0"/>
        <v>2014</v>
      </c>
      <c r="D43" s="18" t="s">
        <v>123</v>
      </c>
      <c r="E43" s="16">
        <v>19</v>
      </c>
      <c r="F43" t="s">
        <v>33</v>
      </c>
    </row>
    <row r="44" spans="2:6">
      <c r="B44" s="17">
        <v>41730</v>
      </c>
      <c r="C44" s="21">
        <f t="shared" si="0"/>
        <v>2014</v>
      </c>
      <c r="D44" s="18" t="s">
        <v>124</v>
      </c>
      <c r="E44" s="16">
        <v>38</v>
      </c>
      <c r="F44" t="s">
        <v>3</v>
      </c>
    </row>
    <row r="45" spans="2:6">
      <c r="B45" s="17">
        <v>41730</v>
      </c>
      <c r="C45" s="21">
        <f t="shared" si="0"/>
        <v>2014</v>
      </c>
      <c r="D45" s="18" t="s">
        <v>125</v>
      </c>
      <c r="E45" s="16">
        <v>15</v>
      </c>
      <c r="F45" t="s">
        <v>33</v>
      </c>
    </row>
    <row r="46" spans="2:6">
      <c r="B46" s="17">
        <v>41730</v>
      </c>
      <c r="C46" s="21">
        <f t="shared" si="0"/>
        <v>2014</v>
      </c>
      <c r="D46" s="18" t="s">
        <v>126</v>
      </c>
      <c r="E46" s="16">
        <v>60</v>
      </c>
      <c r="F46" t="s">
        <v>3</v>
      </c>
    </row>
    <row r="47" spans="2:6">
      <c r="B47" s="17">
        <v>41730</v>
      </c>
      <c r="C47" s="21">
        <f t="shared" si="0"/>
        <v>2014</v>
      </c>
      <c r="D47" s="18" t="s">
        <v>127</v>
      </c>
      <c r="E47" s="16">
        <v>32</v>
      </c>
      <c r="F47" t="s">
        <v>33</v>
      </c>
    </row>
    <row r="48" spans="2:6">
      <c r="B48" s="17">
        <v>41730</v>
      </c>
      <c r="C48" s="21">
        <f t="shared" si="0"/>
        <v>2014</v>
      </c>
      <c r="D48" s="18" t="s">
        <v>35</v>
      </c>
      <c r="E48" s="16">
        <v>99.52</v>
      </c>
      <c r="F48" t="s">
        <v>35</v>
      </c>
    </row>
    <row r="49" spans="2:6">
      <c r="B49" s="17">
        <v>41730</v>
      </c>
      <c r="C49" s="21">
        <f t="shared" si="0"/>
        <v>2014</v>
      </c>
      <c r="D49" s="18" t="s">
        <v>36</v>
      </c>
      <c r="E49" s="16">
        <v>2</v>
      </c>
      <c r="F49" t="s">
        <v>36</v>
      </c>
    </row>
    <row r="50" spans="2:6">
      <c r="B50" s="17">
        <v>41730</v>
      </c>
      <c r="C50" s="21">
        <f t="shared" si="0"/>
        <v>2014</v>
      </c>
      <c r="D50" s="18" t="s">
        <v>38</v>
      </c>
      <c r="E50" s="16">
        <v>5</v>
      </c>
      <c r="F50" t="s">
        <v>38</v>
      </c>
    </row>
    <row r="51" spans="2:6">
      <c r="B51" s="17">
        <v>41730</v>
      </c>
      <c r="C51" s="21">
        <f t="shared" si="0"/>
        <v>2014</v>
      </c>
      <c r="D51" s="18" t="s">
        <v>40</v>
      </c>
      <c r="E51" s="19">
        <v>16.89</v>
      </c>
      <c r="F51" s="18" t="s">
        <v>40</v>
      </c>
    </row>
    <row r="52" spans="2:6">
      <c r="B52" s="17">
        <v>41760</v>
      </c>
      <c r="C52" s="21">
        <f t="shared" si="0"/>
        <v>2014</v>
      </c>
      <c r="D52" s="18" t="s">
        <v>120</v>
      </c>
      <c r="E52" s="16">
        <v>68</v>
      </c>
      <c r="F52" t="s">
        <v>3</v>
      </c>
    </row>
    <row r="53" spans="2:6">
      <c r="B53" s="17">
        <v>41760</v>
      </c>
      <c r="C53" s="21">
        <f t="shared" si="0"/>
        <v>2014</v>
      </c>
      <c r="D53" s="18" t="s">
        <v>121</v>
      </c>
      <c r="E53" s="16">
        <v>54</v>
      </c>
      <c r="F53" t="s">
        <v>33</v>
      </c>
    </row>
    <row r="54" spans="2:6">
      <c r="B54" s="17">
        <v>41760</v>
      </c>
      <c r="C54" s="21">
        <f t="shared" si="0"/>
        <v>2014</v>
      </c>
      <c r="D54" s="18" t="s">
        <v>122</v>
      </c>
      <c r="E54" s="16">
        <v>32</v>
      </c>
      <c r="F54" t="s">
        <v>3</v>
      </c>
    </row>
    <row r="55" spans="2:6">
      <c r="B55" s="17">
        <v>41760</v>
      </c>
      <c r="C55" s="21">
        <f t="shared" si="0"/>
        <v>2014</v>
      </c>
      <c r="D55" s="18" t="s">
        <v>123</v>
      </c>
      <c r="E55" s="16">
        <v>19</v>
      </c>
      <c r="F55" t="s">
        <v>33</v>
      </c>
    </row>
    <row r="56" spans="2:6">
      <c r="B56" s="17">
        <v>41760</v>
      </c>
      <c r="C56" s="21">
        <f t="shared" si="0"/>
        <v>2014</v>
      </c>
      <c r="D56" s="18" t="s">
        <v>124</v>
      </c>
      <c r="E56" s="16">
        <v>50</v>
      </c>
      <c r="F56" t="s">
        <v>3</v>
      </c>
    </row>
    <row r="57" spans="2:6">
      <c r="B57" s="17">
        <v>41760</v>
      </c>
      <c r="C57" s="21">
        <f t="shared" si="0"/>
        <v>2014</v>
      </c>
      <c r="D57" s="18" t="s">
        <v>125</v>
      </c>
      <c r="E57" s="16">
        <v>14</v>
      </c>
      <c r="F57" t="s">
        <v>33</v>
      </c>
    </row>
    <row r="58" spans="2:6">
      <c r="B58" s="17">
        <v>41760</v>
      </c>
      <c r="C58" s="21">
        <f t="shared" si="0"/>
        <v>2014</v>
      </c>
      <c r="D58" s="18" t="s">
        <v>126</v>
      </c>
      <c r="E58" s="16">
        <v>64</v>
      </c>
      <c r="F58" t="s">
        <v>3</v>
      </c>
    </row>
    <row r="59" spans="2:6">
      <c r="B59" s="17">
        <v>41760</v>
      </c>
      <c r="C59" s="21">
        <f t="shared" si="0"/>
        <v>2014</v>
      </c>
      <c r="D59" s="18" t="s">
        <v>127</v>
      </c>
      <c r="E59" s="16">
        <v>30</v>
      </c>
      <c r="F59" t="s">
        <v>33</v>
      </c>
    </row>
    <row r="60" spans="2:6">
      <c r="B60" s="17">
        <v>41760</v>
      </c>
      <c r="C60" s="21">
        <f t="shared" si="0"/>
        <v>2014</v>
      </c>
      <c r="D60" s="18" t="s">
        <v>35</v>
      </c>
      <c r="E60" s="16">
        <v>105.92</v>
      </c>
      <c r="F60" t="s">
        <v>35</v>
      </c>
    </row>
    <row r="61" spans="2:6">
      <c r="B61" s="17">
        <v>41760</v>
      </c>
      <c r="C61" s="21">
        <f t="shared" si="0"/>
        <v>2014</v>
      </c>
      <c r="D61" s="18" t="s">
        <v>36</v>
      </c>
      <c r="E61" s="16">
        <v>3</v>
      </c>
      <c r="F61" t="s">
        <v>36</v>
      </c>
    </row>
    <row r="62" spans="2:6">
      <c r="B62" s="17">
        <v>41760</v>
      </c>
      <c r="C62" s="21">
        <f t="shared" si="0"/>
        <v>2014</v>
      </c>
      <c r="D62" s="18" t="s">
        <v>38</v>
      </c>
      <c r="E62" s="16">
        <v>5</v>
      </c>
      <c r="F62" t="s">
        <v>38</v>
      </c>
    </row>
    <row r="63" spans="2:6">
      <c r="B63" s="17">
        <v>41760</v>
      </c>
      <c r="C63" s="21">
        <f t="shared" si="0"/>
        <v>2014</v>
      </c>
      <c r="D63" s="18" t="s">
        <v>40</v>
      </c>
      <c r="E63" s="19">
        <v>18.58</v>
      </c>
      <c r="F63" s="18" t="s">
        <v>40</v>
      </c>
    </row>
    <row r="64" spans="2:6">
      <c r="B64" s="17">
        <v>41791</v>
      </c>
      <c r="C64" s="21">
        <f t="shared" si="0"/>
        <v>2014</v>
      </c>
      <c r="D64" s="18" t="s">
        <v>120</v>
      </c>
      <c r="E64" s="16">
        <v>56</v>
      </c>
      <c r="F64" t="s">
        <v>3</v>
      </c>
    </row>
    <row r="65" spans="2:6">
      <c r="B65" s="17">
        <v>41791</v>
      </c>
      <c r="C65" s="21">
        <f t="shared" si="0"/>
        <v>2014</v>
      </c>
      <c r="D65" s="18" t="s">
        <v>121</v>
      </c>
      <c r="E65" s="16">
        <v>49</v>
      </c>
      <c r="F65" t="s">
        <v>33</v>
      </c>
    </row>
    <row r="66" spans="2:6">
      <c r="B66" s="17">
        <v>41791</v>
      </c>
      <c r="C66" s="21">
        <f t="shared" si="0"/>
        <v>2014</v>
      </c>
      <c r="D66" s="18" t="s">
        <v>122</v>
      </c>
      <c r="E66" s="16">
        <v>31</v>
      </c>
      <c r="F66" t="s">
        <v>3</v>
      </c>
    </row>
    <row r="67" spans="2:6">
      <c r="B67" s="17">
        <v>41791</v>
      </c>
      <c r="C67" s="21">
        <f t="shared" si="0"/>
        <v>2014</v>
      </c>
      <c r="D67" s="18" t="s">
        <v>123</v>
      </c>
      <c r="E67" s="16">
        <v>14</v>
      </c>
      <c r="F67" t="s">
        <v>33</v>
      </c>
    </row>
    <row r="68" spans="2:6">
      <c r="B68" s="17">
        <v>41791</v>
      </c>
      <c r="C68" s="21">
        <f t="shared" si="0"/>
        <v>2014</v>
      </c>
      <c r="D68" s="18" t="s">
        <v>124</v>
      </c>
      <c r="E68" s="16">
        <v>36</v>
      </c>
      <c r="F68" t="s">
        <v>3</v>
      </c>
    </row>
    <row r="69" spans="2:6">
      <c r="B69" s="17">
        <v>41791</v>
      </c>
      <c r="C69" s="21">
        <f t="shared" ref="C69:C132" si="1">YEAR(B69)</f>
        <v>2014</v>
      </c>
      <c r="D69" s="18" t="s">
        <v>125</v>
      </c>
      <c r="E69" s="16">
        <v>15</v>
      </c>
      <c r="F69" t="s">
        <v>33</v>
      </c>
    </row>
    <row r="70" spans="2:6">
      <c r="B70" s="17">
        <v>41791</v>
      </c>
      <c r="C70" s="21">
        <f t="shared" si="1"/>
        <v>2014</v>
      </c>
      <c r="D70" s="18" t="s">
        <v>126</v>
      </c>
      <c r="E70" s="16">
        <v>57</v>
      </c>
      <c r="F70" t="s">
        <v>3</v>
      </c>
    </row>
    <row r="71" spans="2:6">
      <c r="B71" s="17">
        <v>41791</v>
      </c>
      <c r="C71" s="21">
        <f t="shared" si="1"/>
        <v>2014</v>
      </c>
      <c r="D71" s="18" t="s">
        <v>127</v>
      </c>
      <c r="E71" s="16">
        <v>33</v>
      </c>
      <c r="F71" t="s">
        <v>33</v>
      </c>
    </row>
    <row r="72" spans="2:6">
      <c r="B72" s="17">
        <v>41791</v>
      </c>
      <c r="C72" s="21">
        <f t="shared" si="1"/>
        <v>2014</v>
      </c>
      <c r="D72" s="18" t="s">
        <v>35</v>
      </c>
      <c r="E72" s="16">
        <v>93.12</v>
      </c>
      <c r="F72" t="s">
        <v>35</v>
      </c>
    </row>
    <row r="73" spans="2:6">
      <c r="B73" s="17">
        <v>41791</v>
      </c>
      <c r="C73" s="21">
        <f t="shared" si="1"/>
        <v>2014</v>
      </c>
      <c r="D73" s="18" t="s">
        <v>36</v>
      </c>
      <c r="E73" s="16">
        <v>3</v>
      </c>
      <c r="F73" t="s">
        <v>36</v>
      </c>
    </row>
    <row r="74" spans="2:6">
      <c r="B74" s="17">
        <v>41791</v>
      </c>
      <c r="C74" s="21">
        <f t="shared" si="1"/>
        <v>2014</v>
      </c>
      <c r="D74" s="18" t="s">
        <v>38</v>
      </c>
      <c r="E74" s="16">
        <v>4</v>
      </c>
      <c r="F74" t="s">
        <v>38</v>
      </c>
    </row>
    <row r="75" spans="2:6">
      <c r="B75" s="17">
        <v>41791</v>
      </c>
      <c r="C75" s="21">
        <f t="shared" si="1"/>
        <v>2014</v>
      </c>
      <c r="D75" s="18" t="s">
        <v>40</v>
      </c>
      <c r="E75" s="19">
        <v>15.59</v>
      </c>
      <c r="F75" s="18" t="s">
        <v>40</v>
      </c>
    </row>
    <row r="76" spans="2:6">
      <c r="B76" s="17">
        <v>41821</v>
      </c>
      <c r="C76" s="21">
        <f t="shared" si="1"/>
        <v>2014</v>
      </c>
      <c r="D76" s="18" t="s">
        <v>120</v>
      </c>
      <c r="E76" s="16">
        <v>66</v>
      </c>
      <c r="F76" t="s">
        <v>3</v>
      </c>
    </row>
    <row r="77" spans="2:6">
      <c r="B77" s="17">
        <v>41821</v>
      </c>
      <c r="C77" s="21">
        <f t="shared" si="1"/>
        <v>2014</v>
      </c>
      <c r="D77" s="18" t="s">
        <v>121</v>
      </c>
      <c r="E77" s="16">
        <v>55</v>
      </c>
      <c r="F77" t="s">
        <v>33</v>
      </c>
    </row>
    <row r="78" spans="2:6">
      <c r="B78" s="17">
        <v>41821</v>
      </c>
      <c r="C78" s="21">
        <f t="shared" si="1"/>
        <v>2014</v>
      </c>
      <c r="D78" s="18" t="s">
        <v>122</v>
      </c>
      <c r="E78" s="16">
        <v>38</v>
      </c>
      <c r="F78" t="s">
        <v>3</v>
      </c>
    </row>
    <row r="79" spans="2:6">
      <c r="B79" s="17">
        <v>41821</v>
      </c>
      <c r="C79" s="21">
        <f t="shared" si="1"/>
        <v>2014</v>
      </c>
      <c r="D79" s="18" t="s">
        <v>123</v>
      </c>
      <c r="E79" s="16">
        <v>17</v>
      </c>
      <c r="F79" t="s">
        <v>33</v>
      </c>
    </row>
    <row r="80" spans="2:6">
      <c r="B80" s="17">
        <v>41821</v>
      </c>
      <c r="C80" s="21">
        <f t="shared" si="1"/>
        <v>2014</v>
      </c>
      <c r="D80" s="18" t="s">
        <v>124</v>
      </c>
      <c r="E80" s="16">
        <v>43</v>
      </c>
      <c r="F80" t="s">
        <v>3</v>
      </c>
    </row>
    <row r="81" spans="2:6">
      <c r="B81" s="17">
        <v>41821</v>
      </c>
      <c r="C81" s="21">
        <f t="shared" si="1"/>
        <v>2014</v>
      </c>
      <c r="D81" s="18" t="s">
        <v>125</v>
      </c>
      <c r="E81" s="16">
        <v>17</v>
      </c>
      <c r="F81" t="s">
        <v>33</v>
      </c>
    </row>
    <row r="82" spans="2:6">
      <c r="B82" s="17">
        <v>41821</v>
      </c>
      <c r="C82" s="21">
        <f t="shared" si="1"/>
        <v>2014</v>
      </c>
      <c r="D82" s="18" t="s">
        <v>126</v>
      </c>
      <c r="E82" s="16">
        <v>68</v>
      </c>
      <c r="F82" t="s">
        <v>3</v>
      </c>
    </row>
    <row r="83" spans="2:6">
      <c r="B83" s="17">
        <v>41821</v>
      </c>
      <c r="C83" s="21">
        <f t="shared" si="1"/>
        <v>2014</v>
      </c>
      <c r="D83" s="18" t="s">
        <v>127</v>
      </c>
      <c r="E83" s="16">
        <v>33</v>
      </c>
      <c r="F83" t="s">
        <v>33</v>
      </c>
    </row>
    <row r="84" spans="2:6">
      <c r="B84" s="17">
        <v>41821</v>
      </c>
      <c r="C84" s="21">
        <f t="shared" si="1"/>
        <v>2014</v>
      </c>
      <c r="D84" s="18" t="s">
        <v>35</v>
      </c>
      <c r="E84" s="16">
        <v>114.58</v>
      </c>
      <c r="F84" t="s">
        <v>35</v>
      </c>
    </row>
    <row r="85" spans="2:6">
      <c r="B85" s="17">
        <v>41821</v>
      </c>
      <c r="C85" s="21">
        <f t="shared" si="1"/>
        <v>2014</v>
      </c>
      <c r="D85" s="18" t="s">
        <v>36</v>
      </c>
      <c r="E85" s="16">
        <v>3</v>
      </c>
      <c r="F85" t="s">
        <v>36</v>
      </c>
    </row>
    <row r="86" spans="2:6">
      <c r="B86" s="17">
        <v>41821</v>
      </c>
      <c r="C86" s="21">
        <f t="shared" si="1"/>
        <v>2014</v>
      </c>
      <c r="D86" s="18" t="s">
        <v>38</v>
      </c>
      <c r="E86" s="16">
        <v>4</v>
      </c>
      <c r="F86" t="s">
        <v>38</v>
      </c>
    </row>
    <row r="87" spans="2:6">
      <c r="B87" s="17">
        <v>41821</v>
      </c>
      <c r="C87" s="21">
        <f t="shared" si="1"/>
        <v>2014</v>
      </c>
      <c r="D87" s="18" t="s">
        <v>40</v>
      </c>
      <c r="E87" s="19">
        <v>18.61</v>
      </c>
      <c r="F87" s="18" t="s">
        <v>40</v>
      </c>
    </row>
    <row r="88" spans="2:6">
      <c r="B88" s="17">
        <v>41852</v>
      </c>
      <c r="C88" s="21">
        <f t="shared" si="1"/>
        <v>2014</v>
      </c>
      <c r="D88" s="18" t="s">
        <v>120</v>
      </c>
      <c r="E88" s="16">
        <v>57</v>
      </c>
      <c r="F88" t="s">
        <v>3</v>
      </c>
    </row>
    <row r="89" spans="2:6">
      <c r="B89" s="17">
        <v>41852</v>
      </c>
      <c r="C89" s="21">
        <f t="shared" si="1"/>
        <v>2014</v>
      </c>
      <c r="D89" s="18" t="s">
        <v>121</v>
      </c>
      <c r="E89" s="16">
        <v>52</v>
      </c>
      <c r="F89" t="s">
        <v>33</v>
      </c>
    </row>
    <row r="90" spans="2:6">
      <c r="B90" s="17">
        <v>41852</v>
      </c>
      <c r="C90" s="21">
        <f t="shared" si="1"/>
        <v>2014</v>
      </c>
      <c r="D90" s="18" t="s">
        <v>122</v>
      </c>
      <c r="E90" s="16">
        <v>35</v>
      </c>
      <c r="F90" t="s">
        <v>3</v>
      </c>
    </row>
    <row r="91" spans="2:6">
      <c r="B91" s="17">
        <v>41852</v>
      </c>
      <c r="C91" s="21">
        <f t="shared" si="1"/>
        <v>2014</v>
      </c>
      <c r="D91" s="18" t="s">
        <v>123</v>
      </c>
      <c r="E91" s="16">
        <v>19</v>
      </c>
      <c r="F91" t="s">
        <v>33</v>
      </c>
    </row>
    <row r="92" spans="2:6">
      <c r="B92" s="17">
        <v>41852</v>
      </c>
      <c r="C92" s="21">
        <f t="shared" si="1"/>
        <v>2014</v>
      </c>
      <c r="D92" s="18" t="s">
        <v>124</v>
      </c>
      <c r="E92" s="16">
        <v>38</v>
      </c>
      <c r="F92" t="s">
        <v>3</v>
      </c>
    </row>
    <row r="93" spans="2:6">
      <c r="B93" s="17">
        <v>41852</v>
      </c>
      <c r="C93" s="21">
        <f t="shared" si="1"/>
        <v>2014</v>
      </c>
      <c r="D93" s="18" t="s">
        <v>125</v>
      </c>
      <c r="E93" s="16">
        <v>16</v>
      </c>
      <c r="F93" t="s">
        <v>33</v>
      </c>
    </row>
    <row r="94" spans="2:6">
      <c r="B94" s="17">
        <v>41852</v>
      </c>
      <c r="C94" s="21">
        <f t="shared" si="1"/>
        <v>2014</v>
      </c>
      <c r="D94" s="18" t="s">
        <v>126</v>
      </c>
      <c r="E94" s="16">
        <v>57</v>
      </c>
      <c r="F94" t="s">
        <v>3</v>
      </c>
    </row>
    <row r="95" spans="2:6">
      <c r="B95" s="17">
        <v>41852</v>
      </c>
      <c r="C95" s="21">
        <f t="shared" si="1"/>
        <v>2014</v>
      </c>
      <c r="D95" s="18" t="s">
        <v>127</v>
      </c>
      <c r="E95" s="16">
        <v>33</v>
      </c>
      <c r="F95" t="s">
        <v>33</v>
      </c>
    </row>
    <row r="96" spans="2:6">
      <c r="B96" s="17">
        <v>41852</v>
      </c>
      <c r="C96" s="21">
        <f t="shared" si="1"/>
        <v>2014</v>
      </c>
      <c r="D96" s="18" t="s">
        <v>35</v>
      </c>
      <c r="E96" s="16">
        <v>104.38</v>
      </c>
      <c r="F96" t="s">
        <v>35</v>
      </c>
    </row>
    <row r="97" spans="2:6">
      <c r="B97" s="17">
        <v>41852</v>
      </c>
      <c r="C97" s="21">
        <f t="shared" si="1"/>
        <v>2014</v>
      </c>
      <c r="D97" s="18" t="s">
        <v>36</v>
      </c>
      <c r="E97" s="16">
        <v>3</v>
      </c>
      <c r="F97" t="s">
        <v>36</v>
      </c>
    </row>
    <row r="98" spans="2:6">
      <c r="B98" s="17">
        <v>41852</v>
      </c>
      <c r="C98" s="21">
        <f t="shared" si="1"/>
        <v>2014</v>
      </c>
      <c r="D98" s="18" t="s">
        <v>38</v>
      </c>
      <c r="E98" s="16">
        <v>5</v>
      </c>
      <c r="F98" t="s">
        <v>38</v>
      </c>
    </row>
    <row r="99" spans="2:6">
      <c r="B99" s="17">
        <v>41852</v>
      </c>
      <c r="C99" s="21">
        <f t="shared" si="1"/>
        <v>2014</v>
      </c>
      <c r="D99" s="18" t="s">
        <v>40</v>
      </c>
      <c r="E99" s="19">
        <v>16.13</v>
      </c>
      <c r="F99" s="18" t="s">
        <v>40</v>
      </c>
    </row>
    <row r="100" spans="2:6">
      <c r="B100" s="17">
        <v>41883</v>
      </c>
      <c r="C100" s="21">
        <f t="shared" si="1"/>
        <v>2014</v>
      </c>
      <c r="D100" s="18" t="s">
        <v>120</v>
      </c>
      <c r="E100" s="16">
        <v>60</v>
      </c>
      <c r="F100" t="s">
        <v>3</v>
      </c>
    </row>
    <row r="101" spans="2:6">
      <c r="B101" s="17">
        <v>41883</v>
      </c>
      <c r="C101" s="21">
        <f t="shared" si="1"/>
        <v>2014</v>
      </c>
      <c r="D101" s="18" t="s">
        <v>121</v>
      </c>
      <c r="E101" s="16">
        <v>57</v>
      </c>
      <c r="F101" t="s">
        <v>33</v>
      </c>
    </row>
    <row r="102" spans="2:6">
      <c r="B102" s="17">
        <v>41883</v>
      </c>
      <c r="C102" s="21">
        <f t="shared" si="1"/>
        <v>2014</v>
      </c>
      <c r="D102" s="18" t="s">
        <v>122</v>
      </c>
      <c r="E102" s="16">
        <v>28</v>
      </c>
      <c r="F102" t="s">
        <v>3</v>
      </c>
    </row>
    <row r="103" spans="2:6">
      <c r="B103" s="17">
        <v>41883</v>
      </c>
      <c r="C103" s="21">
        <f t="shared" si="1"/>
        <v>2014</v>
      </c>
      <c r="D103" s="18" t="s">
        <v>123</v>
      </c>
      <c r="E103" s="16">
        <v>11</v>
      </c>
      <c r="F103" t="s">
        <v>33</v>
      </c>
    </row>
    <row r="104" spans="2:6">
      <c r="B104" s="17">
        <v>41883</v>
      </c>
      <c r="C104" s="21">
        <f t="shared" si="1"/>
        <v>2014</v>
      </c>
      <c r="D104" s="18" t="s">
        <v>124</v>
      </c>
      <c r="E104" s="16">
        <v>44</v>
      </c>
      <c r="F104" t="s">
        <v>3</v>
      </c>
    </row>
    <row r="105" spans="2:6">
      <c r="B105" s="17">
        <v>41883</v>
      </c>
      <c r="C105" s="21">
        <f t="shared" si="1"/>
        <v>2014</v>
      </c>
      <c r="D105" s="18" t="s">
        <v>125</v>
      </c>
      <c r="E105" s="16">
        <v>12</v>
      </c>
      <c r="F105" t="s">
        <v>33</v>
      </c>
    </row>
    <row r="106" spans="2:6">
      <c r="B106" s="17">
        <v>41883</v>
      </c>
      <c r="C106" s="21">
        <f t="shared" si="1"/>
        <v>2014</v>
      </c>
      <c r="D106" s="18" t="s">
        <v>126</v>
      </c>
      <c r="E106" s="16">
        <v>67</v>
      </c>
      <c r="F106" t="s">
        <v>3</v>
      </c>
    </row>
    <row r="107" spans="2:6">
      <c r="B107" s="17">
        <v>41883</v>
      </c>
      <c r="C107" s="21">
        <f t="shared" si="1"/>
        <v>2014</v>
      </c>
      <c r="D107" s="18" t="s">
        <v>127</v>
      </c>
      <c r="E107" s="16">
        <v>31</v>
      </c>
      <c r="F107" t="s">
        <v>33</v>
      </c>
    </row>
    <row r="108" spans="2:6">
      <c r="B108" s="17">
        <v>41883</v>
      </c>
      <c r="C108" s="21">
        <f t="shared" si="1"/>
        <v>2014</v>
      </c>
      <c r="D108" s="18" t="s">
        <v>35</v>
      </c>
      <c r="E108" s="16">
        <v>108.5</v>
      </c>
      <c r="F108" t="s">
        <v>35</v>
      </c>
    </row>
    <row r="109" spans="2:6">
      <c r="B109" s="17">
        <v>41883</v>
      </c>
      <c r="C109" s="21">
        <f t="shared" si="1"/>
        <v>2014</v>
      </c>
      <c r="D109" s="18" t="s">
        <v>36</v>
      </c>
      <c r="E109" s="16">
        <v>2</v>
      </c>
      <c r="F109" t="s">
        <v>36</v>
      </c>
    </row>
    <row r="110" spans="2:6">
      <c r="B110" s="17">
        <v>41883</v>
      </c>
      <c r="C110" s="21">
        <f t="shared" si="1"/>
        <v>2014</v>
      </c>
      <c r="D110" s="18" t="s">
        <v>38</v>
      </c>
      <c r="E110" s="16">
        <v>4</v>
      </c>
      <c r="F110" t="s">
        <v>38</v>
      </c>
    </row>
    <row r="111" spans="2:6">
      <c r="B111" s="17">
        <v>41883</v>
      </c>
      <c r="C111" s="21">
        <f t="shared" si="1"/>
        <v>2014</v>
      </c>
      <c r="D111" s="18" t="s">
        <v>40</v>
      </c>
      <c r="E111" s="19">
        <v>17.42</v>
      </c>
      <c r="F111" s="18" t="s">
        <v>40</v>
      </c>
    </row>
    <row r="112" spans="2:6">
      <c r="B112" s="17">
        <v>41913</v>
      </c>
      <c r="C112" s="21">
        <f t="shared" si="1"/>
        <v>2014</v>
      </c>
      <c r="D112" s="18" t="s">
        <v>120</v>
      </c>
      <c r="E112" s="16">
        <v>59</v>
      </c>
      <c r="F112" t="s">
        <v>3</v>
      </c>
    </row>
    <row r="113" spans="2:6">
      <c r="B113" s="17">
        <v>41913</v>
      </c>
      <c r="C113" s="21">
        <f t="shared" si="1"/>
        <v>2014</v>
      </c>
      <c r="D113" s="18" t="s">
        <v>121</v>
      </c>
      <c r="E113" s="16">
        <v>57</v>
      </c>
      <c r="F113" t="s">
        <v>33</v>
      </c>
    </row>
    <row r="114" spans="2:6">
      <c r="B114" s="17">
        <v>41913</v>
      </c>
      <c r="C114" s="21">
        <f t="shared" si="1"/>
        <v>2014</v>
      </c>
      <c r="D114" s="18" t="s">
        <v>122</v>
      </c>
      <c r="E114" s="16">
        <v>40</v>
      </c>
      <c r="F114" t="s">
        <v>3</v>
      </c>
    </row>
    <row r="115" spans="2:6">
      <c r="B115" s="17">
        <v>41913</v>
      </c>
      <c r="C115" s="21">
        <f t="shared" si="1"/>
        <v>2014</v>
      </c>
      <c r="D115" s="18" t="s">
        <v>123</v>
      </c>
      <c r="E115" s="16">
        <v>11</v>
      </c>
      <c r="F115" t="s">
        <v>33</v>
      </c>
    </row>
    <row r="116" spans="2:6">
      <c r="B116" s="17">
        <v>41913</v>
      </c>
      <c r="C116" s="21">
        <f t="shared" si="1"/>
        <v>2014</v>
      </c>
      <c r="D116" s="18" t="s">
        <v>124</v>
      </c>
      <c r="E116" s="16">
        <v>35</v>
      </c>
      <c r="F116" t="s">
        <v>3</v>
      </c>
    </row>
    <row r="117" spans="2:6">
      <c r="B117" s="17">
        <v>41913</v>
      </c>
      <c r="C117" s="21">
        <f t="shared" si="1"/>
        <v>2014</v>
      </c>
      <c r="D117" s="18" t="s">
        <v>125</v>
      </c>
      <c r="E117" s="16">
        <v>15</v>
      </c>
      <c r="F117" t="s">
        <v>33</v>
      </c>
    </row>
    <row r="118" spans="2:6">
      <c r="B118" s="17">
        <v>41913</v>
      </c>
      <c r="C118" s="21">
        <f t="shared" si="1"/>
        <v>2014</v>
      </c>
      <c r="D118" s="18" t="s">
        <v>126</v>
      </c>
      <c r="E118" s="16">
        <v>61</v>
      </c>
      <c r="F118" t="s">
        <v>3</v>
      </c>
    </row>
    <row r="119" spans="2:6">
      <c r="B119" s="17">
        <v>41913</v>
      </c>
      <c r="C119" s="21">
        <f t="shared" si="1"/>
        <v>2014</v>
      </c>
      <c r="D119" s="18" t="s">
        <v>127</v>
      </c>
      <c r="E119" s="16">
        <v>35</v>
      </c>
      <c r="F119" t="s">
        <v>33</v>
      </c>
    </row>
    <row r="120" spans="2:6">
      <c r="B120" s="17">
        <v>41913</v>
      </c>
      <c r="C120" s="21">
        <f t="shared" si="1"/>
        <v>2014</v>
      </c>
      <c r="D120" s="18" t="s">
        <v>35</v>
      </c>
      <c r="E120" s="16">
        <v>97.03</v>
      </c>
      <c r="F120" t="s">
        <v>35</v>
      </c>
    </row>
    <row r="121" spans="2:6">
      <c r="B121" s="17">
        <v>41913</v>
      </c>
      <c r="C121" s="21">
        <f t="shared" si="1"/>
        <v>2014</v>
      </c>
      <c r="D121" s="18" t="s">
        <v>36</v>
      </c>
      <c r="E121" s="16">
        <v>3</v>
      </c>
      <c r="F121" t="s">
        <v>36</v>
      </c>
    </row>
    <row r="122" spans="2:6">
      <c r="B122" s="17">
        <v>41913</v>
      </c>
      <c r="C122" s="21">
        <f t="shared" si="1"/>
        <v>2014</v>
      </c>
      <c r="D122" s="18" t="s">
        <v>38</v>
      </c>
      <c r="E122" s="16">
        <v>4</v>
      </c>
      <c r="F122" t="s">
        <v>38</v>
      </c>
    </row>
    <row r="123" spans="2:6">
      <c r="B123" s="17">
        <v>41913</v>
      </c>
      <c r="C123" s="21">
        <f t="shared" si="1"/>
        <v>2014</v>
      </c>
      <c r="D123" s="18" t="s">
        <v>40</v>
      </c>
      <c r="E123" s="19">
        <v>16.77</v>
      </c>
      <c r="F123" s="18" t="s">
        <v>40</v>
      </c>
    </row>
    <row r="124" spans="2:6">
      <c r="B124" s="17">
        <v>41944</v>
      </c>
      <c r="C124" s="21">
        <f t="shared" si="1"/>
        <v>2014</v>
      </c>
      <c r="D124" s="18" t="s">
        <v>120</v>
      </c>
      <c r="E124" s="16">
        <v>69</v>
      </c>
      <c r="F124" t="s">
        <v>3</v>
      </c>
    </row>
    <row r="125" spans="2:6">
      <c r="B125" s="17">
        <v>41944</v>
      </c>
      <c r="C125" s="21">
        <f t="shared" si="1"/>
        <v>2014</v>
      </c>
      <c r="D125" s="18" t="s">
        <v>121</v>
      </c>
      <c r="E125" s="16">
        <v>45</v>
      </c>
      <c r="F125" t="s">
        <v>33</v>
      </c>
    </row>
    <row r="126" spans="2:6">
      <c r="B126" s="17">
        <v>41944</v>
      </c>
      <c r="C126" s="21">
        <f t="shared" si="1"/>
        <v>2014</v>
      </c>
      <c r="D126" s="18" t="s">
        <v>122</v>
      </c>
      <c r="E126" s="16">
        <v>25</v>
      </c>
      <c r="F126" t="s">
        <v>3</v>
      </c>
    </row>
    <row r="127" spans="2:6">
      <c r="B127" s="17">
        <v>41944</v>
      </c>
      <c r="C127" s="21">
        <f t="shared" si="1"/>
        <v>2014</v>
      </c>
      <c r="D127" s="18" t="s">
        <v>123</v>
      </c>
      <c r="E127" s="16">
        <v>17</v>
      </c>
      <c r="F127" t="s">
        <v>33</v>
      </c>
    </row>
    <row r="128" spans="2:6">
      <c r="B128" s="17">
        <v>41944</v>
      </c>
      <c r="C128" s="21">
        <f t="shared" si="1"/>
        <v>2014</v>
      </c>
      <c r="D128" s="18" t="s">
        <v>124</v>
      </c>
      <c r="E128" s="16">
        <v>45</v>
      </c>
      <c r="F128" t="s">
        <v>3</v>
      </c>
    </row>
    <row r="129" spans="2:6">
      <c r="B129" s="17">
        <v>41944</v>
      </c>
      <c r="C129" s="21">
        <f t="shared" si="1"/>
        <v>2014</v>
      </c>
      <c r="D129" s="18" t="s">
        <v>125</v>
      </c>
      <c r="E129" s="16">
        <v>10</v>
      </c>
      <c r="F129" t="s">
        <v>33</v>
      </c>
    </row>
    <row r="130" spans="2:6">
      <c r="B130" s="17">
        <v>41944</v>
      </c>
      <c r="C130" s="21">
        <f t="shared" si="1"/>
        <v>2014</v>
      </c>
      <c r="D130" s="18" t="s">
        <v>126</v>
      </c>
      <c r="E130" s="16">
        <v>63</v>
      </c>
      <c r="F130" t="s">
        <v>3</v>
      </c>
    </row>
    <row r="131" spans="2:6">
      <c r="B131" s="17">
        <v>41944</v>
      </c>
      <c r="C131" s="21">
        <f t="shared" si="1"/>
        <v>2014</v>
      </c>
      <c r="D131" s="18" t="s">
        <v>127</v>
      </c>
      <c r="E131" s="16">
        <v>31</v>
      </c>
      <c r="F131" t="s">
        <v>33</v>
      </c>
    </row>
    <row r="132" spans="2:6">
      <c r="B132" s="17">
        <v>41944</v>
      </c>
      <c r="C132" s="21">
        <f t="shared" si="1"/>
        <v>2014</v>
      </c>
      <c r="D132" s="18" t="s">
        <v>35</v>
      </c>
      <c r="E132" s="16">
        <v>97.6</v>
      </c>
      <c r="F132" t="s">
        <v>35</v>
      </c>
    </row>
    <row r="133" spans="2:6">
      <c r="B133" s="17">
        <v>41944</v>
      </c>
      <c r="C133" s="21">
        <f t="shared" ref="C133:C196" si="2">YEAR(B133)</f>
        <v>2014</v>
      </c>
      <c r="D133" s="18" t="s">
        <v>36</v>
      </c>
      <c r="E133" s="16">
        <v>2</v>
      </c>
      <c r="F133" t="s">
        <v>36</v>
      </c>
    </row>
    <row r="134" spans="2:6">
      <c r="B134" s="17">
        <v>41944</v>
      </c>
      <c r="C134" s="21">
        <f t="shared" si="2"/>
        <v>2014</v>
      </c>
      <c r="D134" s="18" t="s">
        <v>38</v>
      </c>
      <c r="E134" s="16">
        <v>5</v>
      </c>
      <c r="F134" t="s">
        <v>38</v>
      </c>
    </row>
    <row r="135" spans="2:6">
      <c r="B135" s="17">
        <v>41944</v>
      </c>
      <c r="C135" s="21">
        <f t="shared" si="2"/>
        <v>2014</v>
      </c>
      <c r="D135" s="18" t="s">
        <v>40</v>
      </c>
      <c r="E135" s="19">
        <v>17.62</v>
      </c>
      <c r="F135" s="18" t="s">
        <v>40</v>
      </c>
    </row>
    <row r="136" spans="2:6">
      <c r="B136" s="17">
        <v>41974</v>
      </c>
      <c r="C136" s="21">
        <f t="shared" si="2"/>
        <v>2014</v>
      </c>
      <c r="D136" s="18" t="s">
        <v>120</v>
      </c>
      <c r="E136" s="16">
        <v>74</v>
      </c>
      <c r="F136" t="s">
        <v>3</v>
      </c>
    </row>
    <row r="137" spans="2:6">
      <c r="B137" s="17">
        <v>41974</v>
      </c>
      <c r="C137" s="21">
        <f t="shared" si="2"/>
        <v>2014</v>
      </c>
      <c r="D137" s="18" t="s">
        <v>121</v>
      </c>
      <c r="E137" s="16">
        <v>55</v>
      </c>
      <c r="F137" t="s">
        <v>33</v>
      </c>
    </row>
    <row r="138" spans="2:6">
      <c r="B138" s="17">
        <v>41974</v>
      </c>
      <c r="C138" s="21">
        <f t="shared" si="2"/>
        <v>2014</v>
      </c>
      <c r="D138" s="18" t="s">
        <v>122</v>
      </c>
      <c r="E138" s="16">
        <v>31</v>
      </c>
      <c r="F138" t="s">
        <v>3</v>
      </c>
    </row>
    <row r="139" spans="2:6">
      <c r="B139" s="17">
        <v>41974</v>
      </c>
      <c r="C139" s="21">
        <f t="shared" si="2"/>
        <v>2014</v>
      </c>
      <c r="D139" s="18" t="s">
        <v>123</v>
      </c>
      <c r="E139" s="16">
        <v>19</v>
      </c>
      <c r="F139" t="s">
        <v>33</v>
      </c>
    </row>
    <row r="140" spans="2:6">
      <c r="B140" s="17">
        <v>41974</v>
      </c>
      <c r="C140" s="21">
        <f t="shared" si="2"/>
        <v>2014</v>
      </c>
      <c r="D140" s="18" t="s">
        <v>124</v>
      </c>
      <c r="E140" s="16">
        <v>42</v>
      </c>
      <c r="F140" t="s">
        <v>3</v>
      </c>
    </row>
    <row r="141" spans="2:6">
      <c r="B141" s="17">
        <v>41974</v>
      </c>
      <c r="C141" s="21">
        <f t="shared" si="2"/>
        <v>2014</v>
      </c>
      <c r="D141" s="18" t="s">
        <v>125</v>
      </c>
      <c r="E141" s="16">
        <v>19</v>
      </c>
      <c r="F141" t="s">
        <v>33</v>
      </c>
    </row>
    <row r="142" spans="2:6">
      <c r="B142" s="17">
        <v>41974</v>
      </c>
      <c r="C142" s="21">
        <f t="shared" si="2"/>
        <v>2014</v>
      </c>
      <c r="D142" s="18" t="s">
        <v>126</v>
      </c>
      <c r="E142" s="16">
        <v>59</v>
      </c>
      <c r="F142" t="s">
        <v>3</v>
      </c>
    </row>
    <row r="143" spans="2:6">
      <c r="B143" s="17">
        <v>41974</v>
      </c>
      <c r="C143" s="21">
        <f t="shared" si="2"/>
        <v>2014</v>
      </c>
      <c r="D143" s="18" t="s">
        <v>127</v>
      </c>
      <c r="E143" s="16">
        <v>34</v>
      </c>
      <c r="F143" t="s">
        <v>33</v>
      </c>
    </row>
    <row r="144" spans="2:6">
      <c r="B144" s="17">
        <v>41974</v>
      </c>
      <c r="C144" s="21">
        <f t="shared" si="2"/>
        <v>2014</v>
      </c>
      <c r="D144" s="18" t="s">
        <v>35</v>
      </c>
      <c r="E144" s="16">
        <v>103.23</v>
      </c>
      <c r="F144" t="s">
        <v>35</v>
      </c>
    </row>
    <row r="145" spans="2:6">
      <c r="B145" s="17">
        <v>41974</v>
      </c>
      <c r="C145" s="21">
        <f t="shared" si="2"/>
        <v>2014</v>
      </c>
      <c r="D145" s="18" t="s">
        <v>36</v>
      </c>
      <c r="E145" s="16">
        <v>3</v>
      </c>
      <c r="F145" t="s">
        <v>36</v>
      </c>
    </row>
    <row r="146" spans="2:6">
      <c r="B146" s="17">
        <v>41974</v>
      </c>
      <c r="C146" s="21">
        <f t="shared" si="2"/>
        <v>2014</v>
      </c>
      <c r="D146" s="18" t="s">
        <v>38</v>
      </c>
      <c r="E146" s="16">
        <v>5</v>
      </c>
      <c r="F146" t="s">
        <v>38</v>
      </c>
    </row>
    <row r="147" spans="2:6">
      <c r="B147" s="17">
        <v>41974</v>
      </c>
      <c r="C147" s="21">
        <f t="shared" si="2"/>
        <v>2014</v>
      </c>
      <c r="D147" s="18" t="s">
        <v>40</v>
      </c>
      <c r="E147" s="19">
        <v>17.77</v>
      </c>
      <c r="F147" s="18" t="s">
        <v>40</v>
      </c>
    </row>
    <row r="148" spans="2:6">
      <c r="B148" s="17">
        <v>42005</v>
      </c>
      <c r="C148" s="21">
        <f t="shared" si="2"/>
        <v>2015</v>
      </c>
      <c r="D148" s="18" t="s">
        <v>120</v>
      </c>
      <c r="E148" s="16">
        <v>56</v>
      </c>
      <c r="F148" t="s">
        <v>3</v>
      </c>
    </row>
    <row r="149" spans="2:6">
      <c r="B149" s="17">
        <v>42005</v>
      </c>
      <c r="C149" s="21">
        <f t="shared" si="2"/>
        <v>2015</v>
      </c>
      <c r="D149" s="18" t="s">
        <v>121</v>
      </c>
      <c r="E149" s="16">
        <v>49</v>
      </c>
      <c r="F149" t="s">
        <v>33</v>
      </c>
    </row>
    <row r="150" spans="2:6">
      <c r="B150" s="17">
        <v>42005</v>
      </c>
      <c r="C150" s="21">
        <f t="shared" si="2"/>
        <v>2015</v>
      </c>
      <c r="D150" s="18" t="s">
        <v>122</v>
      </c>
      <c r="E150" s="16">
        <v>38</v>
      </c>
      <c r="F150" t="s">
        <v>3</v>
      </c>
    </row>
    <row r="151" spans="2:6">
      <c r="B151" s="17">
        <v>42005</v>
      </c>
      <c r="C151" s="21">
        <f t="shared" si="2"/>
        <v>2015</v>
      </c>
      <c r="D151" s="18" t="s">
        <v>123</v>
      </c>
      <c r="E151" s="16">
        <v>13</v>
      </c>
      <c r="F151" t="s">
        <v>33</v>
      </c>
    </row>
    <row r="152" spans="2:6">
      <c r="B152" s="17">
        <v>42005</v>
      </c>
      <c r="C152" s="21">
        <f t="shared" si="2"/>
        <v>2015</v>
      </c>
      <c r="D152" s="18" t="s">
        <v>124</v>
      </c>
      <c r="E152" s="16">
        <v>49</v>
      </c>
      <c r="F152" t="s">
        <v>3</v>
      </c>
    </row>
    <row r="153" spans="2:6">
      <c r="B153" s="17">
        <v>42005</v>
      </c>
      <c r="C153" s="21">
        <f t="shared" si="2"/>
        <v>2015</v>
      </c>
      <c r="D153" s="18" t="s">
        <v>125</v>
      </c>
      <c r="E153" s="16">
        <v>13</v>
      </c>
      <c r="F153" t="s">
        <v>33</v>
      </c>
    </row>
    <row r="154" spans="2:6">
      <c r="B154" s="17">
        <v>42005</v>
      </c>
      <c r="C154" s="21">
        <f t="shared" si="2"/>
        <v>2015</v>
      </c>
      <c r="D154" s="18" t="s">
        <v>126</v>
      </c>
      <c r="E154" s="16">
        <v>67</v>
      </c>
      <c r="F154" t="s">
        <v>3</v>
      </c>
    </row>
    <row r="155" spans="2:6">
      <c r="B155" s="17">
        <v>42005</v>
      </c>
      <c r="C155" s="21">
        <f t="shared" si="2"/>
        <v>2015</v>
      </c>
      <c r="D155" s="18" t="s">
        <v>127</v>
      </c>
      <c r="E155" s="16">
        <v>30</v>
      </c>
      <c r="F155" t="s">
        <v>33</v>
      </c>
    </row>
    <row r="156" spans="2:6">
      <c r="B156" s="17">
        <v>42005</v>
      </c>
      <c r="C156" s="21">
        <f t="shared" si="2"/>
        <v>2015</v>
      </c>
      <c r="D156" s="18" t="s">
        <v>35</v>
      </c>
      <c r="E156" s="16">
        <v>107.1</v>
      </c>
      <c r="F156" t="s">
        <v>35</v>
      </c>
    </row>
    <row r="157" spans="2:6">
      <c r="B157" s="17">
        <v>42005</v>
      </c>
      <c r="C157" s="21">
        <f t="shared" si="2"/>
        <v>2015</v>
      </c>
      <c r="D157" s="18" t="s">
        <v>36</v>
      </c>
      <c r="E157" s="16">
        <v>4</v>
      </c>
      <c r="F157" t="s">
        <v>36</v>
      </c>
    </row>
    <row r="158" spans="2:6">
      <c r="B158" s="17">
        <v>42005</v>
      </c>
      <c r="C158" s="21">
        <f t="shared" si="2"/>
        <v>2015</v>
      </c>
      <c r="D158" s="18" t="s">
        <v>38</v>
      </c>
      <c r="E158" s="16">
        <v>6</v>
      </c>
      <c r="F158" t="s">
        <v>38</v>
      </c>
    </row>
    <row r="159" spans="2:6">
      <c r="B159" s="17">
        <v>42005</v>
      </c>
      <c r="C159" s="21">
        <f t="shared" si="2"/>
        <v>2015</v>
      </c>
      <c r="D159" s="18" t="s">
        <v>40</v>
      </c>
      <c r="E159" s="19">
        <v>18.25</v>
      </c>
      <c r="F159" s="18" t="s">
        <v>40</v>
      </c>
    </row>
    <row r="160" spans="2:6">
      <c r="B160" s="17">
        <v>42036</v>
      </c>
      <c r="C160" s="21">
        <f t="shared" si="2"/>
        <v>2015</v>
      </c>
      <c r="D160" s="18" t="s">
        <v>120</v>
      </c>
      <c r="E160" s="16">
        <v>73</v>
      </c>
      <c r="F160" t="s">
        <v>3</v>
      </c>
    </row>
    <row r="161" spans="2:6">
      <c r="B161" s="17">
        <v>42036</v>
      </c>
      <c r="C161" s="21">
        <f t="shared" si="2"/>
        <v>2015</v>
      </c>
      <c r="D161" s="18" t="s">
        <v>121</v>
      </c>
      <c r="E161" s="16">
        <v>60</v>
      </c>
      <c r="F161" t="s">
        <v>33</v>
      </c>
    </row>
    <row r="162" spans="2:6">
      <c r="B162" s="17">
        <v>42036</v>
      </c>
      <c r="C162" s="21">
        <f t="shared" si="2"/>
        <v>2015</v>
      </c>
      <c r="D162" s="18" t="s">
        <v>122</v>
      </c>
      <c r="E162" s="16">
        <v>40</v>
      </c>
      <c r="F162" t="s">
        <v>3</v>
      </c>
    </row>
    <row r="163" spans="2:6">
      <c r="B163" s="17">
        <v>42036</v>
      </c>
      <c r="C163" s="21">
        <f t="shared" si="2"/>
        <v>2015</v>
      </c>
      <c r="D163" s="18" t="s">
        <v>123</v>
      </c>
      <c r="E163" s="16">
        <v>15</v>
      </c>
      <c r="F163" t="s">
        <v>33</v>
      </c>
    </row>
    <row r="164" spans="2:6">
      <c r="B164" s="17">
        <v>42036</v>
      </c>
      <c r="C164" s="21">
        <f t="shared" si="2"/>
        <v>2015</v>
      </c>
      <c r="D164" s="18" t="s">
        <v>124</v>
      </c>
      <c r="E164" s="16">
        <v>41</v>
      </c>
      <c r="F164" t="s">
        <v>3</v>
      </c>
    </row>
    <row r="165" spans="2:6">
      <c r="B165" s="17">
        <v>42036</v>
      </c>
      <c r="C165" s="21">
        <f t="shared" si="2"/>
        <v>2015</v>
      </c>
      <c r="D165" s="18" t="s">
        <v>125</v>
      </c>
      <c r="E165" s="16">
        <v>12</v>
      </c>
      <c r="F165" t="s">
        <v>33</v>
      </c>
    </row>
    <row r="166" spans="2:6">
      <c r="B166" s="17">
        <v>42036</v>
      </c>
      <c r="C166" s="21">
        <f t="shared" si="2"/>
        <v>2015</v>
      </c>
      <c r="D166" s="18" t="s">
        <v>126</v>
      </c>
      <c r="E166" s="16">
        <v>59</v>
      </c>
      <c r="F166" t="s">
        <v>3</v>
      </c>
    </row>
    <row r="167" spans="2:6">
      <c r="B167" s="17">
        <v>42036</v>
      </c>
      <c r="C167" s="21">
        <f t="shared" si="2"/>
        <v>2015</v>
      </c>
      <c r="D167" s="18" t="s">
        <v>127</v>
      </c>
      <c r="E167" s="16">
        <v>35</v>
      </c>
      <c r="F167" t="s">
        <v>33</v>
      </c>
    </row>
    <row r="168" spans="2:6">
      <c r="B168" s="17">
        <v>42036</v>
      </c>
      <c r="C168" s="21">
        <f t="shared" si="2"/>
        <v>2015</v>
      </c>
      <c r="D168" s="18" t="s">
        <v>35</v>
      </c>
      <c r="E168" s="16">
        <v>107.2</v>
      </c>
      <c r="F168" t="s">
        <v>35</v>
      </c>
    </row>
    <row r="169" spans="2:6">
      <c r="B169" s="17">
        <v>42036</v>
      </c>
      <c r="C169" s="21">
        <f t="shared" si="2"/>
        <v>2015</v>
      </c>
      <c r="D169" s="18" t="s">
        <v>36</v>
      </c>
      <c r="E169" s="16">
        <v>3</v>
      </c>
      <c r="F169" t="s">
        <v>36</v>
      </c>
    </row>
    <row r="170" spans="2:6">
      <c r="B170" s="17">
        <v>42036</v>
      </c>
      <c r="C170" s="21">
        <f t="shared" si="2"/>
        <v>2015</v>
      </c>
      <c r="D170" s="18" t="s">
        <v>38</v>
      </c>
      <c r="E170" s="16">
        <v>5</v>
      </c>
      <c r="F170" t="s">
        <v>38</v>
      </c>
    </row>
    <row r="171" spans="2:6">
      <c r="B171" s="17">
        <v>42036</v>
      </c>
      <c r="C171" s="21">
        <f t="shared" si="2"/>
        <v>2015</v>
      </c>
      <c r="D171" s="18" t="s">
        <v>40</v>
      </c>
      <c r="E171" s="19">
        <v>18.23</v>
      </c>
      <c r="F171" s="18" t="s">
        <v>40</v>
      </c>
    </row>
    <row r="172" spans="2:6">
      <c r="B172" s="17">
        <v>42064</v>
      </c>
      <c r="C172" s="21">
        <f t="shared" si="2"/>
        <v>2015</v>
      </c>
      <c r="D172" s="18" t="s">
        <v>120</v>
      </c>
      <c r="E172" s="16">
        <v>55</v>
      </c>
      <c r="F172" t="s">
        <v>3</v>
      </c>
    </row>
    <row r="173" spans="2:6">
      <c r="B173" s="17">
        <v>42064</v>
      </c>
      <c r="C173" s="21">
        <f t="shared" si="2"/>
        <v>2015</v>
      </c>
      <c r="D173" s="18" t="s">
        <v>121</v>
      </c>
      <c r="E173" s="16">
        <v>49</v>
      </c>
      <c r="F173" t="s">
        <v>33</v>
      </c>
    </row>
    <row r="174" spans="2:6">
      <c r="B174" s="17">
        <v>42064</v>
      </c>
      <c r="C174" s="21">
        <f t="shared" si="2"/>
        <v>2015</v>
      </c>
      <c r="D174" s="18" t="s">
        <v>122</v>
      </c>
      <c r="E174" s="16">
        <v>37</v>
      </c>
      <c r="F174" t="s">
        <v>3</v>
      </c>
    </row>
    <row r="175" spans="2:6">
      <c r="B175" s="17">
        <v>42064</v>
      </c>
      <c r="C175" s="21">
        <f t="shared" si="2"/>
        <v>2015</v>
      </c>
      <c r="D175" s="18" t="s">
        <v>123</v>
      </c>
      <c r="E175" s="16">
        <v>20</v>
      </c>
      <c r="F175" t="s">
        <v>33</v>
      </c>
    </row>
    <row r="176" spans="2:6">
      <c r="B176" s="17">
        <v>42064</v>
      </c>
      <c r="C176" s="21">
        <f t="shared" si="2"/>
        <v>2015</v>
      </c>
      <c r="D176" s="18" t="s">
        <v>124</v>
      </c>
      <c r="E176" s="16">
        <v>46</v>
      </c>
      <c r="F176" t="s">
        <v>3</v>
      </c>
    </row>
    <row r="177" spans="2:6">
      <c r="B177" s="17">
        <v>42064</v>
      </c>
      <c r="C177" s="21">
        <f t="shared" si="2"/>
        <v>2015</v>
      </c>
      <c r="D177" s="18" t="s">
        <v>125</v>
      </c>
      <c r="E177" s="16">
        <v>18</v>
      </c>
      <c r="F177" t="s">
        <v>33</v>
      </c>
    </row>
    <row r="178" spans="2:6">
      <c r="B178" s="17">
        <v>42064</v>
      </c>
      <c r="C178" s="21">
        <f t="shared" si="2"/>
        <v>2015</v>
      </c>
      <c r="D178" s="18" t="s">
        <v>126</v>
      </c>
      <c r="E178" s="16">
        <v>56</v>
      </c>
      <c r="F178" t="s">
        <v>3</v>
      </c>
    </row>
    <row r="179" spans="2:6">
      <c r="B179" s="17">
        <v>42064</v>
      </c>
      <c r="C179" s="21">
        <f t="shared" si="2"/>
        <v>2015</v>
      </c>
      <c r="D179" s="18" t="s">
        <v>127</v>
      </c>
      <c r="E179" s="16">
        <v>35</v>
      </c>
      <c r="F179" t="s">
        <v>33</v>
      </c>
    </row>
    <row r="180" spans="2:6">
      <c r="B180" s="17">
        <v>42064</v>
      </c>
      <c r="C180" s="21">
        <f t="shared" si="2"/>
        <v>2015</v>
      </c>
      <c r="D180" s="18" t="s">
        <v>35</v>
      </c>
      <c r="E180" s="16">
        <v>104.28</v>
      </c>
      <c r="F180" t="s">
        <v>35</v>
      </c>
    </row>
    <row r="181" spans="2:6">
      <c r="B181" s="17">
        <v>42064</v>
      </c>
      <c r="C181" s="21">
        <f t="shared" si="2"/>
        <v>2015</v>
      </c>
      <c r="D181" s="18" t="s">
        <v>36</v>
      </c>
      <c r="E181" s="16">
        <v>4</v>
      </c>
      <c r="F181" t="s">
        <v>36</v>
      </c>
    </row>
    <row r="182" spans="2:6">
      <c r="B182" s="17">
        <v>42064</v>
      </c>
      <c r="C182" s="21">
        <f t="shared" si="2"/>
        <v>2015</v>
      </c>
      <c r="D182" s="18" t="s">
        <v>38</v>
      </c>
      <c r="E182" s="16">
        <v>6</v>
      </c>
      <c r="F182" t="s">
        <v>38</v>
      </c>
    </row>
    <row r="183" spans="2:6">
      <c r="B183" s="17">
        <v>42064</v>
      </c>
      <c r="C183" s="21">
        <f t="shared" si="2"/>
        <v>2015</v>
      </c>
      <c r="D183" s="18" t="s">
        <v>40</v>
      </c>
      <c r="E183" s="19">
        <v>16.73</v>
      </c>
      <c r="F183" s="18" t="s">
        <v>40</v>
      </c>
    </row>
    <row r="184" spans="2:6">
      <c r="B184" s="17">
        <v>42095</v>
      </c>
      <c r="C184" s="21">
        <f t="shared" si="2"/>
        <v>2015</v>
      </c>
      <c r="D184" s="18" t="s">
        <v>120</v>
      </c>
      <c r="E184" s="16">
        <v>56</v>
      </c>
      <c r="F184" t="s">
        <v>3</v>
      </c>
    </row>
    <row r="185" spans="2:6">
      <c r="B185" s="17">
        <v>42095</v>
      </c>
      <c r="C185" s="21">
        <f t="shared" si="2"/>
        <v>2015</v>
      </c>
      <c r="D185" s="18" t="s">
        <v>121</v>
      </c>
      <c r="E185" s="16">
        <v>47</v>
      </c>
      <c r="F185" t="s">
        <v>33</v>
      </c>
    </row>
    <row r="186" spans="2:6">
      <c r="B186" s="17">
        <v>42095</v>
      </c>
      <c r="C186" s="21">
        <f t="shared" si="2"/>
        <v>2015</v>
      </c>
      <c r="D186" s="18" t="s">
        <v>122</v>
      </c>
      <c r="E186" s="16">
        <v>38</v>
      </c>
      <c r="F186" t="s">
        <v>3</v>
      </c>
    </row>
    <row r="187" spans="2:6">
      <c r="B187" s="17">
        <v>42095</v>
      </c>
      <c r="C187" s="21">
        <f t="shared" si="2"/>
        <v>2015</v>
      </c>
      <c r="D187" s="18" t="s">
        <v>123</v>
      </c>
      <c r="E187" s="16">
        <v>13</v>
      </c>
      <c r="F187" t="s">
        <v>33</v>
      </c>
    </row>
    <row r="188" spans="2:6">
      <c r="B188" s="17">
        <v>42095</v>
      </c>
      <c r="C188" s="21">
        <f t="shared" si="2"/>
        <v>2015</v>
      </c>
      <c r="D188" s="18" t="s">
        <v>124</v>
      </c>
      <c r="E188" s="16">
        <v>41</v>
      </c>
      <c r="F188" t="s">
        <v>3</v>
      </c>
    </row>
    <row r="189" spans="2:6">
      <c r="B189" s="17">
        <v>42095</v>
      </c>
      <c r="C189" s="21">
        <f t="shared" si="2"/>
        <v>2015</v>
      </c>
      <c r="D189" s="18" t="s">
        <v>125</v>
      </c>
      <c r="E189" s="16">
        <v>18</v>
      </c>
      <c r="F189" t="s">
        <v>33</v>
      </c>
    </row>
    <row r="190" spans="2:6">
      <c r="B190" s="17">
        <v>42095</v>
      </c>
      <c r="C190" s="21">
        <f t="shared" si="2"/>
        <v>2015</v>
      </c>
      <c r="D190" s="18" t="s">
        <v>126</v>
      </c>
      <c r="E190" s="16">
        <v>57</v>
      </c>
      <c r="F190" t="s">
        <v>3</v>
      </c>
    </row>
    <row r="191" spans="2:6">
      <c r="B191" s="17">
        <v>42095</v>
      </c>
      <c r="C191" s="21">
        <f t="shared" si="2"/>
        <v>2015</v>
      </c>
      <c r="D191" s="18" t="s">
        <v>127</v>
      </c>
      <c r="E191" s="16">
        <v>32</v>
      </c>
      <c r="F191" t="s">
        <v>33</v>
      </c>
    </row>
    <row r="192" spans="2:6">
      <c r="B192" s="17">
        <v>42095</v>
      </c>
      <c r="C192" s="21">
        <f t="shared" si="2"/>
        <v>2015</v>
      </c>
      <c r="D192" s="18" t="s">
        <v>35</v>
      </c>
      <c r="E192" s="16">
        <v>105.7</v>
      </c>
      <c r="F192" t="s">
        <v>35</v>
      </c>
    </row>
    <row r="193" spans="2:6">
      <c r="B193" s="17">
        <v>42095</v>
      </c>
      <c r="C193" s="21">
        <f t="shared" si="2"/>
        <v>2015</v>
      </c>
      <c r="D193" s="18" t="s">
        <v>36</v>
      </c>
      <c r="E193" s="16">
        <v>3</v>
      </c>
      <c r="F193" t="s">
        <v>36</v>
      </c>
    </row>
    <row r="194" spans="2:6">
      <c r="B194" s="17">
        <v>42095</v>
      </c>
      <c r="C194" s="21">
        <f t="shared" si="2"/>
        <v>2015</v>
      </c>
      <c r="D194" s="18" t="s">
        <v>38</v>
      </c>
      <c r="E194" s="16">
        <v>5</v>
      </c>
      <c r="F194" t="s">
        <v>38</v>
      </c>
    </row>
    <row r="195" spans="2:6">
      <c r="B195" s="17">
        <v>42095</v>
      </c>
      <c r="C195" s="21">
        <f t="shared" si="2"/>
        <v>2015</v>
      </c>
      <c r="D195" s="18" t="s">
        <v>40</v>
      </c>
      <c r="E195" s="19">
        <v>16.53</v>
      </c>
      <c r="F195" s="18" t="s">
        <v>40</v>
      </c>
    </row>
    <row r="196" spans="2:6">
      <c r="B196" s="17">
        <v>42125</v>
      </c>
      <c r="C196" s="21">
        <f t="shared" si="2"/>
        <v>2015</v>
      </c>
      <c r="D196" s="18" t="s">
        <v>120</v>
      </c>
      <c r="E196" s="16">
        <v>62</v>
      </c>
      <c r="F196" t="s">
        <v>3</v>
      </c>
    </row>
    <row r="197" spans="2:6">
      <c r="B197" s="17">
        <v>42125</v>
      </c>
      <c r="C197" s="21">
        <f t="shared" ref="C197:C260" si="3">YEAR(B197)</f>
        <v>2015</v>
      </c>
      <c r="D197" s="18" t="s">
        <v>121</v>
      </c>
      <c r="E197" s="16">
        <v>46</v>
      </c>
      <c r="F197" t="s">
        <v>33</v>
      </c>
    </row>
    <row r="198" spans="2:6">
      <c r="B198" s="17">
        <v>42125</v>
      </c>
      <c r="C198" s="21">
        <f t="shared" si="3"/>
        <v>2015</v>
      </c>
      <c r="D198" s="18" t="s">
        <v>122</v>
      </c>
      <c r="E198" s="16">
        <v>37</v>
      </c>
      <c r="F198" t="s">
        <v>3</v>
      </c>
    </row>
    <row r="199" spans="2:6">
      <c r="B199" s="17">
        <v>42125</v>
      </c>
      <c r="C199" s="21">
        <f t="shared" si="3"/>
        <v>2015</v>
      </c>
      <c r="D199" s="18" t="s">
        <v>123</v>
      </c>
      <c r="E199" s="16">
        <v>18</v>
      </c>
      <c r="F199" t="s">
        <v>33</v>
      </c>
    </row>
    <row r="200" spans="2:6">
      <c r="B200" s="17">
        <v>42125</v>
      </c>
      <c r="C200" s="21">
        <f t="shared" si="3"/>
        <v>2015</v>
      </c>
      <c r="D200" s="18" t="s">
        <v>124</v>
      </c>
      <c r="E200" s="16">
        <v>35</v>
      </c>
      <c r="F200" t="s">
        <v>3</v>
      </c>
    </row>
    <row r="201" spans="2:6">
      <c r="B201" s="17">
        <v>42125</v>
      </c>
      <c r="C201" s="21">
        <f t="shared" si="3"/>
        <v>2015</v>
      </c>
      <c r="D201" s="18" t="s">
        <v>125</v>
      </c>
      <c r="E201" s="16">
        <v>17</v>
      </c>
      <c r="F201" t="s">
        <v>33</v>
      </c>
    </row>
    <row r="202" spans="2:6">
      <c r="B202" s="17">
        <v>42125</v>
      </c>
      <c r="C202" s="21">
        <f t="shared" si="3"/>
        <v>2015</v>
      </c>
      <c r="D202" s="18" t="s">
        <v>126</v>
      </c>
      <c r="E202" s="16">
        <v>57</v>
      </c>
      <c r="F202" t="s">
        <v>3</v>
      </c>
    </row>
    <row r="203" spans="2:6">
      <c r="B203" s="17">
        <v>42125</v>
      </c>
      <c r="C203" s="21">
        <f t="shared" si="3"/>
        <v>2015</v>
      </c>
      <c r="D203" s="18" t="s">
        <v>127</v>
      </c>
      <c r="E203" s="16">
        <v>32</v>
      </c>
      <c r="F203" t="s">
        <v>33</v>
      </c>
    </row>
    <row r="204" spans="2:6">
      <c r="B204" s="17">
        <v>42125</v>
      </c>
      <c r="C204" s="21">
        <f t="shared" si="3"/>
        <v>2015</v>
      </c>
      <c r="D204" s="18" t="s">
        <v>35</v>
      </c>
      <c r="E204" s="16">
        <v>109.44</v>
      </c>
      <c r="F204" t="s">
        <v>35</v>
      </c>
    </row>
    <row r="205" spans="2:6">
      <c r="B205" s="17">
        <v>42125</v>
      </c>
      <c r="C205" s="21">
        <f t="shared" si="3"/>
        <v>2015</v>
      </c>
      <c r="D205" s="18" t="s">
        <v>36</v>
      </c>
      <c r="E205" s="16">
        <v>3</v>
      </c>
      <c r="F205" t="s">
        <v>36</v>
      </c>
    </row>
    <row r="206" spans="2:6">
      <c r="B206" s="17">
        <v>42125</v>
      </c>
      <c r="C206" s="21">
        <f t="shared" si="3"/>
        <v>2015</v>
      </c>
      <c r="D206" s="18" t="s">
        <v>38</v>
      </c>
      <c r="E206" s="16">
        <v>5</v>
      </c>
      <c r="F206" t="s">
        <v>38</v>
      </c>
    </row>
    <row r="207" spans="2:6">
      <c r="B207" s="17">
        <v>42125</v>
      </c>
      <c r="C207" s="21">
        <f t="shared" si="3"/>
        <v>2015</v>
      </c>
      <c r="D207" s="18" t="s">
        <v>40</v>
      </c>
      <c r="E207" s="19">
        <v>16.4</v>
      </c>
      <c r="F207" s="18" t="s">
        <v>40</v>
      </c>
    </row>
    <row r="208" spans="2:6">
      <c r="B208" s="17">
        <v>42156</v>
      </c>
      <c r="C208" s="21">
        <f t="shared" si="3"/>
        <v>2015</v>
      </c>
      <c r="D208" s="18" t="s">
        <v>120</v>
      </c>
      <c r="E208" s="16">
        <v>70</v>
      </c>
      <c r="F208" t="s">
        <v>3</v>
      </c>
    </row>
    <row r="209" spans="2:6">
      <c r="B209" s="17">
        <v>42156</v>
      </c>
      <c r="C209" s="21">
        <f t="shared" si="3"/>
        <v>2015</v>
      </c>
      <c r="D209" s="18" t="s">
        <v>121</v>
      </c>
      <c r="E209" s="16">
        <v>56</v>
      </c>
      <c r="F209" t="s">
        <v>33</v>
      </c>
    </row>
    <row r="210" spans="2:6">
      <c r="B210" s="17">
        <v>42156</v>
      </c>
      <c r="C210" s="21">
        <f t="shared" si="3"/>
        <v>2015</v>
      </c>
      <c r="D210" s="18" t="s">
        <v>122</v>
      </c>
      <c r="E210" s="16">
        <v>33</v>
      </c>
      <c r="F210" t="s">
        <v>3</v>
      </c>
    </row>
    <row r="211" spans="2:6">
      <c r="B211" s="17">
        <v>42156</v>
      </c>
      <c r="C211" s="21">
        <f t="shared" si="3"/>
        <v>2015</v>
      </c>
      <c r="D211" s="18" t="s">
        <v>123</v>
      </c>
      <c r="E211" s="16">
        <v>16</v>
      </c>
      <c r="F211" t="s">
        <v>33</v>
      </c>
    </row>
    <row r="212" spans="2:6">
      <c r="B212" s="17">
        <v>42156</v>
      </c>
      <c r="C212" s="21">
        <f t="shared" si="3"/>
        <v>2015</v>
      </c>
      <c r="D212" s="18" t="s">
        <v>124</v>
      </c>
      <c r="E212" s="16">
        <v>49</v>
      </c>
      <c r="F212" t="s">
        <v>3</v>
      </c>
    </row>
    <row r="213" spans="2:6">
      <c r="B213" s="17">
        <v>42156</v>
      </c>
      <c r="C213" s="21">
        <f t="shared" si="3"/>
        <v>2015</v>
      </c>
      <c r="D213" s="18" t="s">
        <v>125</v>
      </c>
      <c r="E213" s="16">
        <v>17</v>
      </c>
      <c r="F213" t="s">
        <v>33</v>
      </c>
    </row>
    <row r="214" spans="2:6">
      <c r="B214" s="17">
        <v>42156</v>
      </c>
      <c r="C214" s="21">
        <f t="shared" si="3"/>
        <v>2015</v>
      </c>
      <c r="D214" s="18" t="s">
        <v>126</v>
      </c>
      <c r="E214" s="16">
        <v>64</v>
      </c>
      <c r="F214" t="s">
        <v>3</v>
      </c>
    </row>
    <row r="215" spans="2:6">
      <c r="B215" s="17">
        <v>42156</v>
      </c>
      <c r="C215" s="21">
        <f t="shared" si="3"/>
        <v>2015</v>
      </c>
      <c r="D215" s="18" t="s">
        <v>127</v>
      </c>
      <c r="E215" s="16">
        <v>33</v>
      </c>
      <c r="F215" t="s">
        <v>33</v>
      </c>
    </row>
    <row r="216" spans="2:6">
      <c r="B216" s="17">
        <v>42156</v>
      </c>
      <c r="C216" s="21">
        <f t="shared" si="3"/>
        <v>2015</v>
      </c>
      <c r="D216" s="18" t="s">
        <v>35</v>
      </c>
      <c r="E216" s="16">
        <v>104.78</v>
      </c>
      <c r="F216" t="s">
        <v>35</v>
      </c>
    </row>
    <row r="217" spans="2:6">
      <c r="B217" s="17">
        <v>42156</v>
      </c>
      <c r="C217" s="21">
        <f t="shared" si="3"/>
        <v>2015</v>
      </c>
      <c r="D217" s="18" t="s">
        <v>36</v>
      </c>
      <c r="E217" s="16">
        <v>4</v>
      </c>
      <c r="F217" t="s">
        <v>36</v>
      </c>
    </row>
    <row r="218" spans="2:6">
      <c r="B218" s="17">
        <v>42156</v>
      </c>
      <c r="C218" s="21">
        <f t="shared" si="3"/>
        <v>2015</v>
      </c>
      <c r="D218" s="18" t="s">
        <v>38</v>
      </c>
      <c r="E218" s="16">
        <v>6</v>
      </c>
      <c r="F218" t="s">
        <v>38</v>
      </c>
    </row>
    <row r="219" spans="2:6">
      <c r="B219" s="17">
        <v>42156</v>
      </c>
      <c r="C219" s="21">
        <f t="shared" si="3"/>
        <v>2015</v>
      </c>
      <c r="D219" s="18" t="s">
        <v>40</v>
      </c>
      <c r="E219" s="19">
        <v>18.72</v>
      </c>
      <c r="F219" s="18" t="s">
        <v>40</v>
      </c>
    </row>
    <row r="220" spans="2:6">
      <c r="B220" s="17">
        <v>42186</v>
      </c>
      <c r="C220" s="21">
        <f t="shared" si="3"/>
        <v>2015</v>
      </c>
      <c r="D220" s="18" t="s">
        <v>120</v>
      </c>
      <c r="E220" s="16">
        <v>68</v>
      </c>
      <c r="F220" t="s">
        <v>3</v>
      </c>
    </row>
    <row r="221" spans="2:6">
      <c r="B221" s="17">
        <v>42186</v>
      </c>
      <c r="C221" s="21">
        <f t="shared" si="3"/>
        <v>2015</v>
      </c>
      <c r="D221" s="18" t="s">
        <v>121</v>
      </c>
      <c r="E221" s="16">
        <v>52</v>
      </c>
      <c r="F221" t="s">
        <v>33</v>
      </c>
    </row>
    <row r="222" spans="2:6">
      <c r="B222" s="17">
        <v>42186</v>
      </c>
      <c r="C222" s="21">
        <f t="shared" si="3"/>
        <v>2015</v>
      </c>
      <c r="D222" s="18" t="s">
        <v>122</v>
      </c>
      <c r="E222" s="16">
        <v>33</v>
      </c>
      <c r="F222" t="s">
        <v>3</v>
      </c>
    </row>
    <row r="223" spans="2:6">
      <c r="B223" s="17">
        <v>42186</v>
      </c>
      <c r="C223" s="21">
        <f t="shared" si="3"/>
        <v>2015</v>
      </c>
      <c r="D223" s="18" t="s">
        <v>123</v>
      </c>
      <c r="E223" s="16">
        <v>16</v>
      </c>
      <c r="F223" t="s">
        <v>33</v>
      </c>
    </row>
    <row r="224" spans="2:6">
      <c r="B224" s="17">
        <v>42186</v>
      </c>
      <c r="C224" s="21">
        <f t="shared" si="3"/>
        <v>2015</v>
      </c>
      <c r="D224" s="18" t="s">
        <v>124</v>
      </c>
      <c r="E224" s="16">
        <v>40</v>
      </c>
      <c r="F224" t="s">
        <v>3</v>
      </c>
    </row>
    <row r="225" spans="2:6">
      <c r="B225" s="17">
        <v>42186</v>
      </c>
      <c r="C225" s="21">
        <f t="shared" si="3"/>
        <v>2015</v>
      </c>
      <c r="D225" s="18" t="s">
        <v>125</v>
      </c>
      <c r="E225" s="16">
        <v>15</v>
      </c>
      <c r="F225" t="s">
        <v>33</v>
      </c>
    </row>
    <row r="226" spans="2:6">
      <c r="B226" s="17">
        <v>42186</v>
      </c>
      <c r="C226" s="21">
        <f t="shared" si="3"/>
        <v>2015</v>
      </c>
      <c r="D226" s="18" t="s">
        <v>126</v>
      </c>
      <c r="E226" s="16">
        <v>55</v>
      </c>
      <c r="F226" t="s">
        <v>3</v>
      </c>
    </row>
    <row r="227" spans="2:6">
      <c r="B227" s="17">
        <v>42186</v>
      </c>
      <c r="C227" s="21">
        <f t="shared" si="3"/>
        <v>2015</v>
      </c>
      <c r="D227" s="18" t="s">
        <v>127</v>
      </c>
      <c r="E227" s="16">
        <v>31</v>
      </c>
      <c r="F227" t="s">
        <v>33</v>
      </c>
    </row>
    <row r="228" spans="2:6">
      <c r="B228" s="17">
        <v>42186</v>
      </c>
      <c r="C228" s="21">
        <f t="shared" si="3"/>
        <v>2015</v>
      </c>
      <c r="D228" s="18" t="s">
        <v>35</v>
      </c>
      <c r="E228" s="16">
        <v>99.2</v>
      </c>
      <c r="F228" t="s">
        <v>35</v>
      </c>
    </row>
    <row r="229" spans="2:6">
      <c r="B229" s="17">
        <v>42186</v>
      </c>
      <c r="C229" s="21">
        <f t="shared" si="3"/>
        <v>2015</v>
      </c>
      <c r="D229" s="18" t="s">
        <v>36</v>
      </c>
      <c r="E229" s="16">
        <v>4</v>
      </c>
      <c r="F229" t="s">
        <v>36</v>
      </c>
    </row>
    <row r="230" spans="2:6">
      <c r="B230" s="17">
        <v>42186</v>
      </c>
      <c r="C230" s="21">
        <f t="shared" si="3"/>
        <v>2015</v>
      </c>
      <c r="D230" s="18" t="s">
        <v>38</v>
      </c>
      <c r="E230" s="16">
        <v>5</v>
      </c>
      <c r="F230" t="s">
        <v>38</v>
      </c>
    </row>
    <row r="231" spans="2:6">
      <c r="B231" s="17">
        <v>42186</v>
      </c>
      <c r="C231" s="21">
        <f t="shared" si="3"/>
        <v>2015</v>
      </c>
      <c r="D231" s="18" t="s">
        <v>40</v>
      </c>
      <c r="E231" s="19">
        <v>16.85</v>
      </c>
      <c r="F231" s="18" t="s">
        <v>40</v>
      </c>
    </row>
    <row r="232" spans="2:6">
      <c r="B232" s="17">
        <v>42217</v>
      </c>
      <c r="C232" s="21">
        <f t="shared" si="3"/>
        <v>2015</v>
      </c>
      <c r="D232" s="18" t="s">
        <v>120</v>
      </c>
      <c r="E232" s="16">
        <v>69</v>
      </c>
      <c r="F232" t="s">
        <v>3</v>
      </c>
    </row>
    <row r="233" spans="2:6">
      <c r="B233" s="17">
        <v>42217</v>
      </c>
      <c r="C233" s="21">
        <f t="shared" si="3"/>
        <v>2015</v>
      </c>
      <c r="D233" s="18" t="s">
        <v>121</v>
      </c>
      <c r="E233" s="16">
        <v>48</v>
      </c>
      <c r="F233" t="s">
        <v>33</v>
      </c>
    </row>
    <row r="234" spans="2:6">
      <c r="B234" s="17">
        <v>42217</v>
      </c>
      <c r="C234" s="21">
        <f t="shared" si="3"/>
        <v>2015</v>
      </c>
      <c r="D234" s="18" t="s">
        <v>122</v>
      </c>
      <c r="E234" s="16">
        <v>39</v>
      </c>
      <c r="F234" t="s">
        <v>3</v>
      </c>
    </row>
    <row r="235" spans="2:6">
      <c r="B235" s="17">
        <v>42217</v>
      </c>
      <c r="C235" s="21">
        <f t="shared" si="3"/>
        <v>2015</v>
      </c>
      <c r="D235" s="18" t="s">
        <v>123</v>
      </c>
      <c r="E235" s="16">
        <v>20</v>
      </c>
      <c r="F235" t="s">
        <v>33</v>
      </c>
    </row>
    <row r="236" spans="2:6">
      <c r="B236" s="17">
        <v>42217</v>
      </c>
      <c r="C236" s="21">
        <f t="shared" si="3"/>
        <v>2015</v>
      </c>
      <c r="D236" s="18" t="s">
        <v>124</v>
      </c>
      <c r="E236" s="16">
        <v>50</v>
      </c>
      <c r="F236" t="s">
        <v>3</v>
      </c>
    </row>
    <row r="237" spans="2:6">
      <c r="B237" s="17">
        <v>42217</v>
      </c>
      <c r="C237" s="21">
        <f t="shared" si="3"/>
        <v>2015</v>
      </c>
      <c r="D237" s="18" t="s">
        <v>125</v>
      </c>
      <c r="E237" s="16">
        <v>15</v>
      </c>
      <c r="F237" t="s">
        <v>33</v>
      </c>
    </row>
    <row r="238" spans="2:6">
      <c r="B238" s="17">
        <v>42217</v>
      </c>
      <c r="C238" s="21">
        <f t="shared" si="3"/>
        <v>2015</v>
      </c>
      <c r="D238" s="18" t="s">
        <v>126</v>
      </c>
      <c r="E238" s="16">
        <v>64</v>
      </c>
      <c r="F238" t="s">
        <v>3</v>
      </c>
    </row>
    <row r="239" spans="2:6">
      <c r="B239" s="17">
        <v>42217</v>
      </c>
      <c r="C239" s="21">
        <f t="shared" si="3"/>
        <v>2015</v>
      </c>
      <c r="D239" s="18" t="s">
        <v>127</v>
      </c>
      <c r="E239" s="16">
        <v>32</v>
      </c>
      <c r="F239" t="s">
        <v>33</v>
      </c>
    </row>
    <row r="240" spans="2:6">
      <c r="B240" s="17">
        <v>42217</v>
      </c>
      <c r="C240" s="21">
        <f t="shared" si="3"/>
        <v>2015</v>
      </c>
      <c r="D240" s="18" t="s">
        <v>35</v>
      </c>
      <c r="E240" s="16">
        <v>104.47</v>
      </c>
      <c r="F240" t="s">
        <v>35</v>
      </c>
    </row>
    <row r="241" spans="2:6">
      <c r="B241" s="17">
        <v>42217</v>
      </c>
      <c r="C241" s="21">
        <f t="shared" si="3"/>
        <v>2015</v>
      </c>
      <c r="D241" s="18" t="s">
        <v>36</v>
      </c>
      <c r="E241" s="16">
        <v>4</v>
      </c>
      <c r="F241" t="s">
        <v>36</v>
      </c>
    </row>
    <row r="242" spans="2:6">
      <c r="B242" s="17">
        <v>42217</v>
      </c>
      <c r="C242" s="21">
        <f t="shared" si="3"/>
        <v>2015</v>
      </c>
      <c r="D242" s="18" t="s">
        <v>38</v>
      </c>
      <c r="E242" s="16">
        <v>5</v>
      </c>
      <c r="F242" t="s">
        <v>38</v>
      </c>
    </row>
    <row r="243" spans="2:6">
      <c r="B243" s="17">
        <v>42217</v>
      </c>
      <c r="C243" s="21">
        <f t="shared" si="3"/>
        <v>2015</v>
      </c>
      <c r="D243" s="18" t="s">
        <v>40</v>
      </c>
      <c r="E243" s="19">
        <v>19.15</v>
      </c>
      <c r="F243" s="18" t="s">
        <v>40</v>
      </c>
    </row>
    <row r="244" spans="2:6">
      <c r="B244" s="17">
        <v>42248</v>
      </c>
      <c r="C244" s="21">
        <f t="shared" si="3"/>
        <v>2015</v>
      </c>
      <c r="D244" s="18" t="s">
        <v>120</v>
      </c>
      <c r="E244" s="16">
        <v>57</v>
      </c>
      <c r="F244" t="s">
        <v>3</v>
      </c>
    </row>
    <row r="245" spans="2:6">
      <c r="B245" s="17">
        <v>42248</v>
      </c>
      <c r="C245" s="21">
        <f t="shared" si="3"/>
        <v>2015</v>
      </c>
      <c r="D245" s="18" t="s">
        <v>121</v>
      </c>
      <c r="E245" s="16">
        <v>53</v>
      </c>
      <c r="F245" t="s">
        <v>33</v>
      </c>
    </row>
    <row r="246" spans="2:6">
      <c r="B246" s="17">
        <v>42248</v>
      </c>
      <c r="C246" s="21">
        <f t="shared" si="3"/>
        <v>2015</v>
      </c>
      <c r="D246" s="18" t="s">
        <v>122</v>
      </c>
      <c r="E246" s="16">
        <v>28</v>
      </c>
      <c r="F246" t="s">
        <v>3</v>
      </c>
    </row>
    <row r="247" spans="2:6">
      <c r="B247" s="17">
        <v>42248</v>
      </c>
      <c r="C247" s="21">
        <f t="shared" si="3"/>
        <v>2015</v>
      </c>
      <c r="D247" s="18" t="s">
        <v>123</v>
      </c>
      <c r="E247" s="16">
        <v>17</v>
      </c>
      <c r="F247" t="s">
        <v>33</v>
      </c>
    </row>
    <row r="248" spans="2:6">
      <c r="B248" s="17">
        <v>42248</v>
      </c>
      <c r="C248" s="21">
        <f t="shared" si="3"/>
        <v>2015</v>
      </c>
      <c r="D248" s="18" t="s">
        <v>124</v>
      </c>
      <c r="E248" s="16">
        <v>42</v>
      </c>
      <c r="F248" t="s">
        <v>3</v>
      </c>
    </row>
    <row r="249" spans="2:6">
      <c r="B249" s="17">
        <v>42248</v>
      </c>
      <c r="C249" s="21">
        <f t="shared" si="3"/>
        <v>2015</v>
      </c>
      <c r="D249" s="18" t="s">
        <v>125</v>
      </c>
      <c r="E249" s="16">
        <v>14</v>
      </c>
      <c r="F249" t="s">
        <v>33</v>
      </c>
    </row>
    <row r="250" spans="2:6">
      <c r="B250" s="17">
        <v>42248</v>
      </c>
      <c r="C250" s="21">
        <f t="shared" si="3"/>
        <v>2015</v>
      </c>
      <c r="D250" s="18" t="s">
        <v>126</v>
      </c>
      <c r="E250" s="16">
        <v>57</v>
      </c>
      <c r="F250" t="s">
        <v>3</v>
      </c>
    </row>
    <row r="251" spans="2:6">
      <c r="B251" s="17">
        <v>42248</v>
      </c>
      <c r="C251" s="21">
        <f t="shared" si="3"/>
        <v>2015</v>
      </c>
      <c r="D251" s="18" t="s">
        <v>127</v>
      </c>
      <c r="E251" s="16">
        <v>32</v>
      </c>
      <c r="F251" t="s">
        <v>33</v>
      </c>
    </row>
    <row r="252" spans="2:6">
      <c r="B252" s="17">
        <v>42248</v>
      </c>
      <c r="C252" s="21">
        <f t="shared" si="3"/>
        <v>2015</v>
      </c>
      <c r="D252" s="18" t="s">
        <v>35</v>
      </c>
      <c r="E252" s="16">
        <v>96</v>
      </c>
      <c r="F252" t="s">
        <v>35</v>
      </c>
    </row>
    <row r="253" spans="2:6">
      <c r="B253" s="17">
        <v>42248</v>
      </c>
      <c r="C253" s="21">
        <f t="shared" si="3"/>
        <v>2015</v>
      </c>
      <c r="D253" s="18" t="s">
        <v>36</v>
      </c>
      <c r="E253" s="16">
        <v>4</v>
      </c>
      <c r="F253" t="s">
        <v>36</v>
      </c>
    </row>
    <row r="254" spans="2:6">
      <c r="B254" s="17">
        <v>42248</v>
      </c>
      <c r="C254" s="21">
        <f t="shared" si="3"/>
        <v>2015</v>
      </c>
      <c r="D254" s="18" t="s">
        <v>38</v>
      </c>
      <c r="E254" s="16">
        <v>5</v>
      </c>
      <c r="F254" t="s">
        <v>38</v>
      </c>
    </row>
    <row r="255" spans="2:6">
      <c r="B255" s="17">
        <v>42248</v>
      </c>
      <c r="C255" s="21">
        <f t="shared" si="3"/>
        <v>2015</v>
      </c>
      <c r="D255" s="18" t="s">
        <v>40</v>
      </c>
      <c r="E255" s="19">
        <v>16</v>
      </c>
      <c r="F255" s="18" t="s">
        <v>40</v>
      </c>
    </row>
    <row r="256" spans="2:6">
      <c r="B256" s="17">
        <v>42278</v>
      </c>
      <c r="C256" s="21">
        <f t="shared" si="3"/>
        <v>2015</v>
      </c>
      <c r="D256" s="18" t="s">
        <v>120</v>
      </c>
      <c r="E256" s="16">
        <v>72</v>
      </c>
      <c r="F256" t="s">
        <v>3</v>
      </c>
    </row>
    <row r="257" spans="2:6">
      <c r="B257" s="17">
        <v>42278</v>
      </c>
      <c r="C257" s="21">
        <f t="shared" si="3"/>
        <v>2015</v>
      </c>
      <c r="D257" s="18" t="s">
        <v>121</v>
      </c>
      <c r="E257" s="16">
        <v>58</v>
      </c>
      <c r="F257" t="s">
        <v>33</v>
      </c>
    </row>
    <row r="258" spans="2:6">
      <c r="B258" s="17">
        <v>42278</v>
      </c>
      <c r="C258" s="21">
        <f t="shared" si="3"/>
        <v>2015</v>
      </c>
      <c r="D258" s="18" t="s">
        <v>122</v>
      </c>
      <c r="E258" s="16">
        <v>39</v>
      </c>
      <c r="F258" t="s">
        <v>3</v>
      </c>
    </row>
    <row r="259" spans="2:6">
      <c r="B259" s="17">
        <v>42278</v>
      </c>
      <c r="C259" s="21">
        <f t="shared" si="3"/>
        <v>2015</v>
      </c>
      <c r="D259" s="18" t="s">
        <v>123</v>
      </c>
      <c r="E259" s="16">
        <v>13</v>
      </c>
      <c r="F259" t="s">
        <v>33</v>
      </c>
    </row>
    <row r="260" spans="2:6">
      <c r="B260" s="17">
        <v>42278</v>
      </c>
      <c r="C260" s="21">
        <f t="shared" si="3"/>
        <v>2015</v>
      </c>
      <c r="D260" s="18" t="s">
        <v>124</v>
      </c>
      <c r="E260" s="16">
        <v>39</v>
      </c>
      <c r="F260" t="s">
        <v>3</v>
      </c>
    </row>
    <row r="261" spans="2:6">
      <c r="B261" s="17">
        <v>42278</v>
      </c>
      <c r="C261" s="21">
        <f t="shared" ref="C261:C324" si="4">YEAR(B261)</f>
        <v>2015</v>
      </c>
      <c r="D261" s="18" t="s">
        <v>125</v>
      </c>
      <c r="E261" s="16">
        <v>14</v>
      </c>
      <c r="F261" t="s">
        <v>33</v>
      </c>
    </row>
    <row r="262" spans="2:6">
      <c r="B262" s="17">
        <v>42278</v>
      </c>
      <c r="C262" s="21">
        <f t="shared" si="4"/>
        <v>2015</v>
      </c>
      <c r="D262" s="18" t="s">
        <v>126</v>
      </c>
      <c r="E262" s="16">
        <v>56</v>
      </c>
      <c r="F262" t="s">
        <v>3</v>
      </c>
    </row>
    <row r="263" spans="2:6">
      <c r="B263" s="17">
        <v>42278</v>
      </c>
      <c r="C263" s="21">
        <f t="shared" si="4"/>
        <v>2015</v>
      </c>
      <c r="D263" s="18" t="s">
        <v>127</v>
      </c>
      <c r="E263" s="16">
        <v>32</v>
      </c>
      <c r="F263" t="s">
        <v>33</v>
      </c>
    </row>
    <row r="264" spans="2:6">
      <c r="B264" s="17">
        <v>42278</v>
      </c>
      <c r="C264" s="21">
        <f t="shared" si="4"/>
        <v>2015</v>
      </c>
      <c r="D264" s="18" t="s">
        <v>35</v>
      </c>
      <c r="E264" s="16">
        <v>106.59</v>
      </c>
      <c r="F264" t="s">
        <v>35</v>
      </c>
    </row>
    <row r="265" spans="2:6">
      <c r="B265" s="17">
        <v>42278</v>
      </c>
      <c r="C265" s="21">
        <f t="shared" si="4"/>
        <v>2015</v>
      </c>
      <c r="D265" s="18" t="s">
        <v>36</v>
      </c>
      <c r="E265" s="16">
        <v>4</v>
      </c>
      <c r="F265" t="s">
        <v>36</v>
      </c>
    </row>
    <row r="266" spans="2:6">
      <c r="B266" s="17">
        <v>42278</v>
      </c>
      <c r="C266" s="21">
        <f t="shared" si="4"/>
        <v>2015</v>
      </c>
      <c r="D266" s="18" t="s">
        <v>38</v>
      </c>
      <c r="E266" s="16">
        <v>6</v>
      </c>
      <c r="F266" t="s">
        <v>38</v>
      </c>
    </row>
    <row r="267" spans="2:6">
      <c r="B267" s="17">
        <v>42278</v>
      </c>
      <c r="C267" s="21">
        <f t="shared" si="4"/>
        <v>2015</v>
      </c>
      <c r="D267" s="18" t="s">
        <v>40</v>
      </c>
      <c r="E267" s="19">
        <v>17.6</v>
      </c>
      <c r="F267" s="18" t="s">
        <v>40</v>
      </c>
    </row>
    <row r="268" spans="2:6">
      <c r="B268" s="17">
        <v>42309</v>
      </c>
      <c r="C268" s="21">
        <f t="shared" si="4"/>
        <v>2015</v>
      </c>
      <c r="D268" s="18" t="s">
        <v>120</v>
      </c>
      <c r="E268" s="16">
        <v>64</v>
      </c>
      <c r="F268" t="s">
        <v>3</v>
      </c>
    </row>
    <row r="269" spans="2:6">
      <c r="B269" s="17">
        <v>42309</v>
      </c>
      <c r="C269" s="21">
        <f t="shared" si="4"/>
        <v>2015</v>
      </c>
      <c r="D269" s="18" t="s">
        <v>121</v>
      </c>
      <c r="E269" s="16">
        <v>55</v>
      </c>
      <c r="F269" t="s">
        <v>33</v>
      </c>
    </row>
    <row r="270" spans="2:6">
      <c r="B270" s="17">
        <v>42309</v>
      </c>
      <c r="C270" s="21">
        <f t="shared" si="4"/>
        <v>2015</v>
      </c>
      <c r="D270" s="18" t="s">
        <v>122</v>
      </c>
      <c r="E270" s="16">
        <v>28</v>
      </c>
      <c r="F270" t="s">
        <v>3</v>
      </c>
    </row>
    <row r="271" spans="2:6">
      <c r="B271" s="17">
        <v>42309</v>
      </c>
      <c r="C271" s="21">
        <f t="shared" si="4"/>
        <v>2015</v>
      </c>
      <c r="D271" s="18" t="s">
        <v>123</v>
      </c>
      <c r="E271" s="16">
        <v>16</v>
      </c>
      <c r="F271" t="s">
        <v>33</v>
      </c>
    </row>
    <row r="272" spans="2:6">
      <c r="B272" s="17">
        <v>42309</v>
      </c>
      <c r="C272" s="21">
        <f t="shared" si="4"/>
        <v>2015</v>
      </c>
      <c r="D272" s="18" t="s">
        <v>124</v>
      </c>
      <c r="E272" s="16">
        <v>40</v>
      </c>
      <c r="F272" t="s">
        <v>3</v>
      </c>
    </row>
    <row r="273" spans="2:6">
      <c r="B273" s="17">
        <v>42309</v>
      </c>
      <c r="C273" s="21">
        <f t="shared" si="4"/>
        <v>2015</v>
      </c>
      <c r="D273" s="18" t="s">
        <v>125</v>
      </c>
      <c r="E273" s="16">
        <v>11</v>
      </c>
      <c r="F273" t="s">
        <v>33</v>
      </c>
    </row>
    <row r="274" spans="2:6">
      <c r="B274" s="17">
        <v>42309</v>
      </c>
      <c r="C274" s="21">
        <f t="shared" si="4"/>
        <v>2015</v>
      </c>
      <c r="D274" s="18" t="s">
        <v>126</v>
      </c>
      <c r="E274" s="16">
        <v>63</v>
      </c>
      <c r="F274" t="s">
        <v>3</v>
      </c>
    </row>
    <row r="275" spans="2:6">
      <c r="B275" s="17">
        <v>42309</v>
      </c>
      <c r="C275" s="21">
        <f t="shared" si="4"/>
        <v>2015</v>
      </c>
      <c r="D275" s="18" t="s">
        <v>127</v>
      </c>
      <c r="E275" s="16">
        <v>34</v>
      </c>
      <c r="F275" t="s">
        <v>33</v>
      </c>
    </row>
    <row r="276" spans="2:6">
      <c r="B276" s="17">
        <v>42309</v>
      </c>
      <c r="C276" s="21">
        <f t="shared" si="4"/>
        <v>2015</v>
      </c>
      <c r="D276" s="18" t="s">
        <v>35</v>
      </c>
      <c r="E276" s="16">
        <v>99.52</v>
      </c>
      <c r="F276" t="s">
        <v>35</v>
      </c>
    </row>
    <row r="277" spans="2:6">
      <c r="B277" s="17">
        <v>42309</v>
      </c>
      <c r="C277" s="21">
        <f t="shared" si="4"/>
        <v>2015</v>
      </c>
      <c r="D277" s="18" t="s">
        <v>36</v>
      </c>
      <c r="E277" s="16">
        <v>4</v>
      </c>
      <c r="F277" t="s">
        <v>36</v>
      </c>
    </row>
    <row r="278" spans="2:6">
      <c r="B278" s="17">
        <v>42309</v>
      </c>
      <c r="C278" s="21">
        <f t="shared" si="4"/>
        <v>2015</v>
      </c>
      <c r="D278" s="18" t="s">
        <v>38</v>
      </c>
      <c r="E278" s="16">
        <v>5</v>
      </c>
      <c r="F278" t="s">
        <v>38</v>
      </c>
    </row>
    <row r="279" spans="2:6">
      <c r="B279" s="17">
        <v>42309</v>
      </c>
      <c r="C279" s="21">
        <f t="shared" si="4"/>
        <v>2015</v>
      </c>
      <c r="D279" s="18" t="s">
        <v>40</v>
      </c>
      <c r="E279" s="19">
        <v>16.98</v>
      </c>
      <c r="F279" s="18" t="s">
        <v>40</v>
      </c>
    </row>
    <row r="280" spans="2:6">
      <c r="B280" s="17">
        <v>42339</v>
      </c>
      <c r="C280" s="21">
        <f t="shared" si="4"/>
        <v>2015</v>
      </c>
      <c r="D280" s="18" t="s">
        <v>120</v>
      </c>
      <c r="E280" s="16">
        <v>69</v>
      </c>
      <c r="F280" t="s">
        <v>3</v>
      </c>
    </row>
    <row r="281" spans="2:6">
      <c r="B281" s="17">
        <v>42339</v>
      </c>
      <c r="C281" s="21">
        <f t="shared" si="4"/>
        <v>2015</v>
      </c>
      <c r="D281" s="18" t="s">
        <v>121</v>
      </c>
      <c r="E281" s="16">
        <v>48</v>
      </c>
      <c r="F281" t="s">
        <v>33</v>
      </c>
    </row>
    <row r="282" spans="2:6">
      <c r="B282" s="17">
        <v>42339</v>
      </c>
      <c r="C282" s="21">
        <f t="shared" si="4"/>
        <v>2015</v>
      </c>
      <c r="D282" s="18" t="s">
        <v>122</v>
      </c>
      <c r="E282" s="16">
        <v>36</v>
      </c>
      <c r="F282" t="s">
        <v>3</v>
      </c>
    </row>
    <row r="283" spans="2:6">
      <c r="B283" s="17">
        <v>42339</v>
      </c>
      <c r="C283" s="21">
        <f t="shared" si="4"/>
        <v>2015</v>
      </c>
      <c r="D283" s="18" t="s">
        <v>123</v>
      </c>
      <c r="E283" s="16">
        <v>19</v>
      </c>
      <c r="F283" t="s">
        <v>33</v>
      </c>
    </row>
    <row r="284" spans="2:6">
      <c r="B284" s="17">
        <v>42339</v>
      </c>
      <c r="C284" s="21">
        <f t="shared" si="4"/>
        <v>2015</v>
      </c>
      <c r="D284" s="18" t="s">
        <v>124</v>
      </c>
      <c r="E284" s="16">
        <v>50</v>
      </c>
      <c r="F284" t="s">
        <v>3</v>
      </c>
    </row>
    <row r="285" spans="2:6">
      <c r="B285" s="17">
        <v>42339</v>
      </c>
      <c r="C285" s="21">
        <f t="shared" si="4"/>
        <v>2015</v>
      </c>
      <c r="D285" s="18" t="s">
        <v>125</v>
      </c>
      <c r="E285" s="16">
        <v>13</v>
      </c>
      <c r="F285" t="s">
        <v>33</v>
      </c>
    </row>
    <row r="286" spans="2:6">
      <c r="B286" s="17">
        <v>42339</v>
      </c>
      <c r="C286" s="21">
        <f t="shared" si="4"/>
        <v>2015</v>
      </c>
      <c r="D286" s="18" t="s">
        <v>126</v>
      </c>
      <c r="E286" s="16">
        <v>60</v>
      </c>
      <c r="F286" t="s">
        <v>3</v>
      </c>
    </row>
    <row r="287" spans="2:6">
      <c r="B287" s="17">
        <v>42339</v>
      </c>
      <c r="C287" s="21">
        <f t="shared" si="4"/>
        <v>2015</v>
      </c>
      <c r="D287" s="18" t="s">
        <v>127</v>
      </c>
      <c r="E287" s="16">
        <v>31</v>
      </c>
      <c r="F287" t="s">
        <v>33</v>
      </c>
    </row>
    <row r="288" spans="2:6">
      <c r="B288" s="17">
        <v>42339</v>
      </c>
      <c r="C288" s="21">
        <f t="shared" si="4"/>
        <v>2015</v>
      </c>
      <c r="D288" s="18" t="s">
        <v>35</v>
      </c>
      <c r="E288" s="16">
        <v>101.06</v>
      </c>
      <c r="F288" t="s">
        <v>35</v>
      </c>
    </row>
    <row r="289" spans="2:6">
      <c r="B289" s="17">
        <v>42339</v>
      </c>
      <c r="C289" s="21">
        <f t="shared" si="4"/>
        <v>2015</v>
      </c>
      <c r="D289" s="18" t="s">
        <v>36</v>
      </c>
      <c r="E289" s="16">
        <v>3</v>
      </c>
      <c r="F289" t="s">
        <v>36</v>
      </c>
    </row>
    <row r="290" spans="2:6">
      <c r="B290" s="17">
        <v>42339</v>
      </c>
      <c r="C290" s="21">
        <f t="shared" si="4"/>
        <v>2015</v>
      </c>
      <c r="D290" s="18" t="s">
        <v>38</v>
      </c>
      <c r="E290" s="16">
        <v>6</v>
      </c>
      <c r="F290" t="s">
        <v>38</v>
      </c>
    </row>
    <row r="291" spans="2:6">
      <c r="B291" s="17">
        <v>42339</v>
      </c>
      <c r="C291" s="21">
        <f t="shared" si="4"/>
        <v>2015</v>
      </c>
      <c r="D291" s="18" t="s">
        <v>40</v>
      </c>
      <c r="E291" s="19">
        <v>18.54</v>
      </c>
      <c r="F291" s="18" t="s">
        <v>40</v>
      </c>
    </row>
    <row r="292" spans="2:6">
      <c r="B292" s="17">
        <v>42370</v>
      </c>
      <c r="C292" s="21">
        <f t="shared" si="4"/>
        <v>2016</v>
      </c>
      <c r="D292" s="18" t="s">
        <v>120</v>
      </c>
      <c r="E292" s="16">
        <v>57</v>
      </c>
      <c r="F292" t="s">
        <v>3</v>
      </c>
    </row>
    <row r="293" spans="2:6">
      <c r="B293" s="17">
        <v>42370</v>
      </c>
      <c r="C293" s="21">
        <f t="shared" si="4"/>
        <v>2016</v>
      </c>
      <c r="D293" s="18" t="s">
        <v>121</v>
      </c>
      <c r="E293" s="16">
        <v>47</v>
      </c>
      <c r="F293" t="s">
        <v>33</v>
      </c>
    </row>
    <row r="294" spans="2:6">
      <c r="B294" s="17">
        <v>42370</v>
      </c>
      <c r="C294" s="21">
        <f t="shared" si="4"/>
        <v>2016</v>
      </c>
      <c r="D294" s="18" t="s">
        <v>122</v>
      </c>
      <c r="E294" s="16">
        <v>35</v>
      </c>
      <c r="F294" t="s">
        <v>3</v>
      </c>
    </row>
    <row r="295" spans="2:6">
      <c r="B295" s="17">
        <v>42370</v>
      </c>
      <c r="C295" s="21">
        <f t="shared" si="4"/>
        <v>2016</v>
      </c>
      <c r="D295" s="18" t="s">
        <v>123</v>
      </c>
      <c r="E295" s="16">
        <v>17</v>
      </c>
      <c r="F295" t="s">
        <v>33</v>
      </c>
    </row>
    <row r="296" spans="2:6">
      <c r="B296" s="17">
        <v>42370</v>
      </c>
      <c r="C296" s="21">
        <f t="shared" si="4"/>
        <v>2016</v>
      </c>
      <c r="D296" s="18" t="s">
        <v>124</v>
      </c>
      <c r="E296" s="16">
        <v>41</v>
      </c>
      <c r="F296" t="s">
        <v>3</v>
      </c>
    </row>
    <row r="297" spans="2:6">
      <c r="B297" s="17">
        <v>42370</v>
      </c>
      <c r="C297" s="21">
        <f t="shared" si="4"/>
        <v>2016</v>
      </c>
      <c r="D297" s="18" t="s">
        <v>125</v>
      </c>
      <c r="E297" s="16">
        <v>11</v>
      </c>
      <c r="F297" t="s">
        <v>33</v>
      </c>
    </row>
    <row r="298" spans="2:6">
      <c r="B298" s="17">
        <v>42370</v>
      </c>
      <c r="C298" s="21">
        <f t="shared" si="4"/>
        <v>2016</v>
      </c>
      <c r="D298" s="18" t="s">
        <v>126</v>
      </c>
      <c r="E298" s="16">
        <v>61</v>
      </c>
      <c r="F298" t="s">
        <v>3</v>
      </c>
    </row>
    <row r="299" spans="2:6">
      <c r="B299" s="17">
        <v>42370</v>
      </c>
      <c r="C299" s="21">
        <f t="shared" si="4"/>
        <v>2016</v>
      </c>
      <c r="D299" s="18" t="s">
        <v>127</v>
      </c>
      <c r="E299" s="16">
        <v>35</v>
      </c>
      <c r="F299" t="s">
        <v>33</v>
      </c>
    </row>
    <row r="300" spans="2:6">
      <c r="B300" s="17">
        <v>42370</v>
      </c>
      <c r="C300" s="21">
        <f t="shared" si="4"/>
        <v>2016</v>
      </c>
      <c r="D300" s="18" t="s">
        <v>35</v>
      </c>
      <c r="E300" s="16">
        <v>88.16</v>
      </c>
      <c r="F300" t="s">
        <v>35</v>
      </c>
    </row>
    <row r="301" spans="2:6">
      <c r="B301" s="17">
        <v>42370</v>
      </c>
      <c r="C301" s="21">
        <f t="shared" si="4"/>
        <v>2016</v>
      </c>
      <c r="D301" s="18" t="s">
        <v>36</v>
      </c>
      <c r="E301" s="16">
        <v>3</v>
      </c>
      <c r="F301" t="s">
        <v>36</v>
      </c>
    </row>
    <row r="302" spans="2:6">
      <c r="B302" s="17">
        <v>42370</v>
      </c>
      <c r="C302" s="21">
        <f t="shared" si="4"/>
        <v>2016</v>
      </c>
      <c r="D302" s="18" t="s">
        <v>38</v>
      </c>
      <c r="E302" s="16">
        <v>3</v>
      </c>
      <c r="F302" t="s">
        <v>38</v>
      </c>
    </row>
    <row r="303" spans="2:6">
      <c r="B303" s="17">
        <v>42370</v>
      </c>
      <c r="C303" s="21">
        <f t="shared" si="4"/>
        <v>2016</v>
      </c>
      <c r="D303" s="18" t="s">
        <v>40</v>
      </c>
      <c r="E303" s="19">
        <v>16.8</v>
      </c>
      <c r="F303" s="18" t="s">
        <v>40</v>
      </c>
    </row>
    <row r="304" spans="2:6">
      <c r="B304" s="17">
        <v>42401</v>
      </c>
      <c r="C304" s="21">
        <f t="shared" si="4"/>
        <v>2016</v>
      </c>
      <c r="D304" s="18" t="s">
        <v>120</v>
      </c>
      <c r="E304" s="16">
        <v>72</v>
      </c>
      <c r="F304" t="s">
        <v>3</v>
      </c>
    </row>
    <row r="305" spans="2:6">
      <c r="B305" s="17">
        <v>42401</v>
      </c>
      <c r="C305" s="21">
        <f t="shared" si="4"/>
        <v>2016</v>
      </c>
      <c r="D305" s="18" t="s">
        <v>121</v>
      </c>
      <c r="E305" s="16">
        <v>57</v>
      </c>
      <c r="F305" t="s">
        <v>33</v>
      </c>
    </row>
    <row r="306" spans="2:6">
      <c r="B306" s="17">
        <v>42401</v>
      </c>
      <c r="C306" s="21">
        <f t="shared" si="4"/>
        <v>2016</v>
      </c>
      <c r="D306" s="18" t="s">
        <v>122</v>
      </c>
      <c r="E306" s="16">
        <v>29</v>
      </c>
      <c r="F306" t="s">
        <v>3</v>
      </c>
    </row>
    <row r="307" spans="2:6">
      <c r="B307" s="17">
        <v>42401</v>
      </c>
      <c r="C307" s="21">
        <f t="shared" si="4"/>
        <v>2016</v>
      </c>
      <c r="D307" s="18" t="s">
        <v>123</v>
      </c>
      <c r="E307" s="16">
        <v>16</v>
      </c>
      <c r="F307" t="s">
        <v>33</v>
      </c>
    </row>
    <row r="308" spans="2:6">
      <c r="B308" s="17">
        <v>42401</v>
      </c>
      <c r="C308" s="21">
        <f t="shared" si="4"/>
        <v>2016</v>
      </c>
      <c r="D308" s="18" t="s">
        <v>124</v>
      </c>
      <c r="E308" s="16">
        <v>49</v>
      </c>
      <c r="F308" t="s">
        <v>3</v>
      </c>
    </row>
    <row r="309" spans="2:6">
      <c r="B309" s="17">
        <v>42401</v>
      </c>
      <c r="C309" s="21">
        <f t="shared" si="4"/>
        <v>2016</v>
      </c>
      <c r="D309" s="18" t="s">
        <v>125</v>
      </c>
      <c r="E309" s="16">
        <v>19</v>
      </c>
      <c r="F309" t="s">
        <v>33</v>
      </c>
    </row>
    <row r="310" spans="2:6">
      <c r="B310" s="17">
        <v>42401</v>
      </c>
      <c r="C310" s="21">
        <f t="shared" si="4"/>
        <v>2016</v>
      </c>
      <c r="D310" s="18" t="s">
        <v>126</v>
      </c>
      <c r="E310" s="16">
        <v>57</v>
      </c>
      <c r="F310" t="s">
        <v>3</v>
      </c>
    </row>
    <row r="311" spans="2:6">
      <c r="B311" s="17">
        <v>42401</v>
      </c>
      <c r="C311" s="21">
        <f t="shared" si="4"/>
        <v>2016</v>
      </c>
      <c r="D311" s="18" t="s">
        <v>127</v>
      </c>
      <c r="E311" s="16">
        <v>35</v>
      </c>
      <c r="F311" t="s">
        <v>33</v>
      </c>
    </row>
    <row r="312" spans="2:6">
      <c r="B312" s="17">
        <v>42401</v>
      </c>
      <c r="C312" s="21">
        <f t="shared" si="4"/>
        <v>2016</v>
      </c>
      <c r="D312" s="18" t="s">
        <v>35</v>
      </c>
      <c r="E312" s="16">
        <v>96.86</v>
      </c>
      <c r="F312" t="s">
        <v>35</v>
      </c>
    </row>
    <row r="313" spans="2:6">
      <c r="B313" s="17">
        <v>42401</v>
      </c>
      <c r="C313" s="21">
        <f t="shared" si="4"/>
        <v>2016</v>
      </c>
      <c r="D313" s="18" t="s">
        <v>36</v>
      </c>
      <c r="E313" s="16">
        <v>4</v>
      </c>
      <c r="F313" t="s">
        <v>36</v>
      </c>
    </row>
    <row r="314" spans="2:6">
      <c r="B314" s="17">
        <v>42401</v>
      </c>
      <c r="C314" s="21">
        <f t="shared" si="4"/>
        <v>2016</v>
      </c>
      <c r="D314" s="18" t="s">
        <v>38</v>
      </c>
      <c r="E314" s="16">
        <v>4</v>
      </c>
      <c r="F314" t="s">
        <v>38</v>
      </c>
    </row>
    <row r="315" spans="2:6">
      <c r="B315" s="17">
        <v>42401</v>
      </c>
      <c r="C315" s="21">
        <f t="shared" si="4"/>
        <v>2016</v>
      </c>
      <c r="D315" s="18" t="s">
        <v>40</v>
      </c>
      <c r="E315" s="19">
        <v>17.9</v>
      </c>
      <c r="F315" s="18" t="s">
        <v>40</v>
      </c>
    </row>
    <row r="316" spans="2:6">
      <c r="B316" s="17">
        <v>42430</v>
      </c>
      <c r="C316" s="21">
        <f t="shared" si="4"/>
        <v>2016</v>
      </c>
      <c r="D316" s="18" t="s">
        <v>120</v>
      </c>
      <c r="E316" s="16">
        <v>61</v>
      </c>
      <c r="F316" t="s">
        <v>3</v>
      </c>
    </row>
    <row r="317" spans="2:6">
      <c r="B317" s="17">
        <v>42430</v>
      </c>
      <c r="C317" s="21">
        <f t="shared" si="4"/>
        <v>2016</v>
      </c>
      <c r="D317" s="18" t="s">
        <v>121</v>
      </c>
      <c r="E317" s="16">
        <v>52</v>
      </c>
      <c r="F317" t="s">
        <v>33</v>
      </c>
    </row>
    <row r="318" spans="2:6">
      <c r="B318" s="17">
        <v>42430</v>
      </c>
      <c r="C318" s="21">
        <f t="shared" si="4"/>
        <v>2016</v>
      </c>
      <c r="D318" s="18" t="s">
        <v>122</v>
      </c>
      <c r="E318" s="16">
        <v>27</v>
      </c>
      <c r="F318" t="s">
        <v>3</v>
      </c>
    </row>
    <row r="319" spans="2:6">
      <c r="B319" s="17">
        <v>42430</v>
      </c>
      <c r="C319" s="21">
        <f t="shared" si="4"/>
        <v>2016</v>
      </c>
      <c r="D319" s="18" t="s">
        <v>123</v>
      </c>
      <c r="E319" s="16">
        <v>13</v>
      </c>
      <c r="F319" t="s">
        <v>33</v>
      </c>
    </row>
    <row r="320" spans="2:6">
      <c r="B320" s="17">
        <v>42430</v>
      </c>
      <c r="C320" s="21">
        <f t="shared" si="4"/>
        <v>2016</v>
      </c>
      <c r="D320" s="18" t="s">
        <v>124</v>
      </c>
      <c r="E320" s="16">
        <v>38</v>
      </c>
      <c r="F320" t="s">
        <v>3</v>
      </c>
    </row>
    <row r="321" spans="2:6">
      <c r="B321" s="17">
        <v>42430</v>
      </c>
      <c r="C321" s="21">
        <f t="shared" si="4"/>
        <v>2016</v>
      </c>
      <c r="D321" s="18" t="s">
        <v>125</v>
      </c>
      <c r="E321" s="16">
        <v>17</v>
      </c>
      <c r="F321" t="s">
        <v>33</v>
      </c>
    </row>
    <row r="322" spans="2:6">
      <c r="B322" s="17">
        <v>42430</v>
      </c>
      <c r="C322" s="21">
        <f t="shared" si="4"/>
        <v>2016</v>
      </c>
      <c r="D322" s="18" t="s">
        <v>126</v>
      </c>
      <c r="E322" s="16">
        <v>63</v>
      </c>
      <c r="F322" t="s">
        <v>3</v>
      </c>
    </row>
    <row r="323" spans="2:6">
      <c r="B323" s="17">
        <v>42430</v>
      </c>
      <c r="C323" s="21">
        <f t="shared" si="4"/>
        <v>2016</v>
      </c>
      <c r="D323" s="18" t="s">
        <v>127</v>
      </c>
      <c r="E323" s="16">
        <v>31</v>
      </c>
      <c r="F323" t="s">
        <v>33</v>
      </c>
    </row>
    <row r="324" spans="2:6">
      <c r="B324" s="17">
        <v>42430</v>
      </c>
      <c r="C324" s="21">
        <f t="shared" si="4"/>
        <v>2016</v>
      </c>
      <c r="D324" s="18" t="s">
        <v>35</v>
      </c>
      <c r="E324" s="16">
        <v>87.58</v>
      </c>
      <c r="F324" t="s">
        <v>35</v>
      </c>
    </row>
    <row r="325" spans="2:6">
      <c r="B325" s="17">
        <v>42430</v>
      </c>
      <c r="C325" s="21">
        <f t="shared" ref="C325:C388" si="5">YEAR(B325)</f>
        <v>2016</v>
      </c>
      <c r="D325" s="18" t="s">
        <v>36</v>
      </c>
      <c r="E325" s="16">
        <v>4</v>
      </c>
      <c r="F325" t="s">
        <v>36</v>
      </c>
    </row>
    <row r="326" spans="2:6">
      <c r="B326" s="17">
        <v>42430</v>
      </c>
      <c r="C326" s="21">
        <f t="shared" si="5"/>
        <v>2016</v>
      </c>
      <c r="D326" s="18" t="s">
        <v>38</v>
      </c>
      <c r="E326" s="16">
        <v>4</v>
      </c>
      <c r="F326" t="s">
        <v>38</v>
      </c>
    </row>
    <row r="327" spans="2:6">
      <c r="B327" s="17">
        <v>42430</v>
      </c>
      <c r="C327" s="21">
        <f t="shared" si="5"/>
        <v>2016</v>
      </c>
      <c r="D327" s="18" t="s">
        <v>40</v>
      </c>
      <c r="E327" s="19">
        <v>16.49</v>
      </c>
      <c r="F327" s="18" t="s">
        <v>40</v>
      </c>
    </row>
    <row r="328" spans="2:6">
      <c r="B328" s="17">
        <v>42461</v>
      </c>
      <c r="C328" s="21">
        <f t="shared" si="5"/>
        <v>2016</v>
      </c>
      <c r="D328" s="18" t="s">
        <v>120</v>
      </c>
      <c r="E328" s="16">
        <v>62</v>
      </c>
      <c r="F328" t="s">
        <v>3</v>
      </c>
    </row>
    <row r="329" spans="2:6">
      <c r="B329" s="17">
        <v>42461</v>
      </c>
      <c r="C329" s="21">
        <f t="shared" si="5"/>
        <v>2016</v>
      </c>
      <c r="D329" s="18" t="s">
        <v>121</v>
      </c>
      <c r="E329" s="16">
        <v>48</v>
      </c>
      <c r="F329" t="s">
        <v>33</v>
      </c>
    </row>
    <row r="330" spans="2:6">
      <c r="B330" s="17">
        <v>42461</v>
      </c>
      <c r="C330" s="21">
        <f t="shared" si="5"/>
        <v>2016</v>
      </c>
      <c r="D330" s="18" t="s">
        <v>122</v>
      </c>
      <c r="E330" s="16">
        <v>25</v>
      </c>
      <c r="F330" t="s">
        <v>3</v>
      </c>
    </row>
    <row r="331" spans="2:6">
      <c r="B331" s="17">
        <v>42461</v>
      </c>
      <c r="C331" s="21">
        <f t="shared" si="5"/>
        <v>2016</v>
      </c>
      <c r="D331" s="18" t="s">
        <v>123</v>
      </c>
      <c r="E331" s="16">
        <v>20</v>
      </c>
      <c r="F331" t="s">
        <v>33</v>
      </c>
    </row>
    <row r="332" spans="2:6">
      <c r="B332" s="17">
        <v>42461</v>
      </c>
      <c r="C332" s="21">
        <f t="shared" si="5"/>
        <v>2016</v>
      </c>
      <c r="D332" s="18" t="s">
        <v>124</v>
      </c>
      <c r="E332" s="16">
        <v>47</v>
      </c>
      <c r="F332" t="s">
        <v>3</v>
      </c>
    </row>
    <row r="333" spans="2:6">
      <c r="B333" s="17">
        <v>42461</v>
      </c>
      <c r="C333" s="21">
        <f t="shared" si="5"/>
        <v>2016</v>
      </c>
      <c r="D333" s="18" t="s">
        <v>125</v>
      </c>
      <c r="E333" s="16">
        <v>11</v>
      </c>
      <c r="F333" t="s">
        <v>33</v>
      </c>
    </row>
    <row r="334" spans="2:6">
      <c r="B334" s="17">
        <v>42461</v>
      </c>
      <c r="C334" s="21">
        <f t="shared" si="5"/>
        <v>2016</v>
      </c>
      <c r="D334" s="18" t="s">
        <v>126</v>
      </c>
      <c r="E334" s="16">
        <v>56</v>
      </c>
      <c r="F334" t="s">
        <v>3</v>
      </c>
    </row>
    <row r="335" spans="2:6">
      <c r="B335" s="17">
        <v>42461</v>
      </c>
      <c r="C335" s="21">
        <f t="shared" si="5"/>
        <v>2016</v>
      </c>
      <c r="D335" s="18" t="s">
        <v>127</v>
      </c>
      <c r="E335" s="16">
        <v>30</v>
      </c>
      <c r="F335" t="s">
        <v>33</v>
      </c>
    </row>
    <row r="336" spans="2:6">
      <c r="B336" s="17">
        <v>42461</v>
      </c>
      <c r="C336" s="21">
        <f t="shared" si="5"/>
        <v>2016</v>
      </c>
      <c r="D336" s="18" t="s">
        <v>35</v>
      </c>
      <c r="E336" s="16">
        <v>80.73</v>
      </c>
      <c r="F336" t="s">
        <v>35</v>
      </c>
    </row>
    <row r="337" spans="2:6">
      <c r="B337" s="17">
        <v>42461</v>
      </c>
      <c r="C337" s="21">
        <f t="shared" si="5"/>
        <v>2016</v>
      </c>
      <c r="D337" s="18" t="s">
        <v>36</v>
      </c>
      <c r="E337" s="16">
        <v>3</v>
      </c>
      <c r="F337" t="s">
        <v>36</v>
      </c>
    </row>
    <row r="338" spans="2:6">
      <c r="B338" s="17">
        <v>42461</v>
      </c>
      <c r="C338" s="21">
        <f t="shared" si="5"/>
        <v>2016</v>
      </c>
      <c r="D338" s="18" t="s">
        <v>38</v>
      </c>
      <c r="E338" s="16">
        <v>4</v>
      </c>
      <c r="F338" t="s">
        <v>38</v>
      </c>
    </row>
    <row r="339" spans="2:6">
      <c r="B339" s="17">
        <v>42461</v>
      </c>
      <c r="C339" s="21">
        <f t="shared" si="5"/>
        <v>2016</v>
      </c>
      <c r="D339" s="18" t="s">
        <v>40</v>
      </c>
      <c r="E339" s="19">
        <v>16.54</v>
      </c>
      <c r="F339" s="18" t="s">
        <v>40</v>
      </c>
    </row>
    <row r="340" spans="2:6">
      <c r="B340" s="17">
        <v>42491</v>
      </c>
      <c r="C340" s="21">
        <f t="shared" si="5"/>
        <v>2016</v>
      </c>
      <c r="D340" s="18" t="s">
        <v>120</v>
      </c>
      <c r="E340" s="16">
        <v>59</v>
      </c>
      <c r="F340" t="s">
        <v>3</v>
      </c>
    </row>
    <row r="341" spans="2:6">
      <c r="B341" s="17">
        <v>42491</v>
      </c>
      <c r="C341" s="21">
        <f t="shared" si="5"/>
        <v>2016</v>
      </c>
      <c r="D341" s="18" t="s">
        <v>121</v>
      </c>
      <c r="E341" s="16">
        <v>58</v>
      </c>
      <c r="F341" t="s">
        <v>33</v>
      </c>
    </row>
    <row r="342" spans="2:6">
      <c r="B342" s="17">
        <v>42491</v>
      </c>
      <c r="C342" s="21">
        <f t="shared" si="5"/>
        <v>2016</v>
      </c>
      <c r="D342" s="18" t="s">
        <v>122</v>
      </c>
      <c r="E342" s="16">
        <v>32</v>
      </c>
      <c r="F342" t="s">
        <v>3</v>
      </c>
    </row>
    <row r="343" spans="2:6">
      <c r="B343" s="17">
        <v>42491</v>
      </c>
      <c r="C343" s="21">
        <f t="shared" si="5"/>
        <v>2016</v>
      </c>
      <c r="D343" s="18" t="s">
        <v>123</v>
      </c>
      <c r="E343" s="16">
        <v>13</v>
      </c>
      <c r="F343" t="s">
        <v>33</v>
      </c>
    </row>
    <row r="344" spans="2:6">
      <c r="B344" s="17">
        <v>42491</v>
      </c>
      <c r="C344" s="21">
        <f t="shared" si="5"/>
        <v>2016</v>
      </c>
      <c r="D344" s="18" t="s">
        <v>124</v>
      </c>
      <c r="E344" s="16">
        <v>41</v>
      </c>
      <c r="F344" t="s">
        <v>3</v>
      </c>
    </row>
    <row r="345" spans="2:6">
      <c r="B345" s="17">
        <v>42491</v>
      </c>
      <c r="C345" s="21">
        <f t="shared" si="5"/>
        <v>2016</v>
      </c>
      <c r="D345" s="18" t="s">
        <v>125</v>
      </c>
      <c r="E345" s="16">
        <v>13</v>
      </c>
      <c r="F345" t="s">
        <v>33</v>
      </c>
    </row>
    <row r="346" spans="2:6">
      <c r="B346" s="17">
        <v>42491</v>
      </c>
      <c r="C346" s="21">
        <f t="shared" si="5"/>
        <v>2016</v>
      </c>
      <c r="D346" s="18" t="s">
        <v>126</v>
      </c>
      <c r="E346" s="16">
        <v>54</v>
      </c>
      <c r="F346" t="s">
        <v>3</v>
      </c>
    </row>
    <row r="347" spans="2:6">
      <c r="B347" s="17">
        <v>42491</v>
      </c>
      <c r="C347" s="21">
        <f t="shared" si="5"/>
        <v>2016</v>
      </c>
      <c r="D347" s="18" t="s">
        <v>127</v>
      </c>
      <c r="E347" s="16">
        <v>35</v>
      </c>
      <c r="F347" t="s">
        <v>33</v>
      </c>
    </row>
    <row r="348" spans="2:6">
      <c r="B348" s="17">
        <v>42491</v>
      </c>
      <c r="C348" s="21">
        <f t="shared" si="5"/>
        <v>2016</v>
      </c>
      <c r="D348" s="18" t="s">
        <v>35</v>
      </c>
      <c r="E348" s="16">
        <v>88.45</v>
      </c>
      <c r="F348" t="s">
        <v>35</v>
      </c>
    </row>
    <row r="349" spans="2:6">
      <c r="B349" s="17">
        <v>42491</v>
      </c>
      <c r="C349" s="21">
        <f t="shared" si="5"/>
        <v>2016</v>
      </c>
      <c r="D349" s="18" t="s">
        <v>36</v>
      </c>
      <c r="E349" s="16">
        <v>4</v>
      </c>
      <c r="F349" t="s">
        <v>36</v>
      </c>
    </row>
    <row r="350" spans="2:6">
      <c r="B350" s="17">
        <v>42491</v>
      </c>
      <c r="C350" s="21">
        <f t="shared" si="5"/>
        <v>2016</v>
      </c>
      <c r="D350" s="18" t="s">
        <v>38</v>
      </c>
      <c r="E350" s="16">
        <v>5</v>
      </c>
      <c r="F350" t="s">
        <v>38</v>
      </c>
    </row>
    <row r="351" spans="2:6">
      <c r="B351" s="17">
        <v>42491</v>
      </c>
      <c r="C351" s="21">
        <f t="shared" si="5"/>
        <v>2016</v>
      </c>
      <c r="D351" s="18" t="s">
        <v>40</v>
      </c>
      <c r="E351" s="19">
        <v>16.05</v>
      </c>
      <c r="F351" s="18" t="s">
        <v>40</v>
      </c>
    </row>
    <row r="352" spans="2:6">
      <c r="B352" s="17">
        <v>42522</v>
      </c>
      <c r="C352" s="21">
        <f t="shared" si="5"/>
        <v>2016</v>
      </c>
      <c r="D352" s="18" t="s">
        <v>120</v>
      </c>
      <c r="E352" s="16">
        <v>67</v>
      </c>
      <c r="F352" t="s">
        <v>3</v>
      </c>
    </row>
    <row r="353" spans="2:6">
      <c r="B353" s="17">
        <v>42522</v>
      </c>
      <c r="C353" s="21">
        <f t="shared" si="5"/>
        <v>2016</v>
      </c>
      <c r="D353" s="18" t="s">
        <v>121</v>
      </c>
      <c r="E353" s="16">
        <v>56</v>
      </c>
      <c r="F353" t="s">
        <v>33</v>
      </c>
    </row>
    <row r="354" spans="2:6">
      <c r="B354" s="17">
        <v>42522</v>
      </c>
      <c r="C354" s="21">
        <f t="shared" si="5"/>
        <v>2016</v>
      </c>
      <c r="D354" s="18" t="s">
        <v>122</v>
      </c>
      <c r="E354" s="16">
        <v>31</v>
      </c>
      <c r="F354" t="s">
        <v>3</v>
      </c>
    </row>
    <row r="355" spans="2:6">
      <c r="B355" s="17">
        <v>42522</v>
      </c>
      <c r="C355" s="21">
        <f t="shared" si="5"/>
        <v>2016</v>
      </c>
      <c r="D355" s="18" t="s">
        <v>123</v>
      </c>
      <c r="E355" s="16">
        <v>18</v>
      </c>
      <c r="F355" t="s">
        <v>33</v>
      </c>
    </row>
    <row r="356" spans="2:6">
      <c r="B356" s="17">
        <v>42522</v>
      </c>
      <c r="C356" s="21">
        <f t="shared" si="5"/>
        <v>2016</v>
      </c>
      <c r="D356" s="18" t="s">
        <v>124</v>
      </c>
      <c r="E356" s="16">
        <v>47</v>
      </c>
      <c r="F356" t="s">
        <v>3</v>
      </c>
    </row>
    <row r="357" spans="2:6">
      <c r="B357" s="17">
        <v>42522</v>
      </c>
      <c r="C357" s="21">
        <f t="shared" si="5"/>
        <v>2016</v>
      </c>
      <c r="D357" s="18" t="s">
        <v>125</v>
      </c>
      <c r="E357" s="16">
        <v>17</v>
      </c>
      <c r="F357" t="s">
        <v>33</v>
      </c>
    </row>
    <row r="358" spans="2:6">
      <c r="B358" s="17">
        <v>42522</v>
      </c>
      <c r="C358" s="21">
        <f t="shared" si="5"/>
        <v>2016</v>
      </c>
      <c r="D358" s="18" t="s">
        <v>126</v>
      </c>
      <c r="E358" s="16">
        <v>66</v>
      </c>
      <c r="F358" t="s">
        <v>3</v>
      </c>
    </row>
    <row r="359" spans="2:6">
      <c r="B359" s="17">
        <v>42522</v>
      </c>
      <c r="C359" s="21">
        <f t="shared" si="5"/>
        <v>2016</v>
      </c>
      <c r="D359" s="18" t="s">
        <v>127</v>
      </c>
      <c r="E359" s="16">
        <v>30</v>
      </c>
      <c r="F359" t="s">
        <v>33</v>
      </c>
    </row>
    <row r="360" spans="2:6">
      <c r="B360" s="17">
        <v>42522</v>
      </c>
      <c r="C360" s="21">
        <f t="shared" si="5"/>
        <v>2016</v>
      </c>
      <c r="D360" s="18" t="s">
        <v>35</v>
      </c>
      <c r="E360" s="16">
        <v>102.92</v>
      </c>
      <c r="F360" t="s">
        <v>35</v>
      </c>
    </row>
    <row r="361" spans="2:6">
      <c r="B361" s="17">
        <v>42522</v>
      </c>
      <c r="C361" s="21">
        <f t="shared" si="5"/>
        <v>2016</v>
      </c>
      <c r="D361" s="18" t="s">
        <v>36</v>
      </c>
      <c r="E361" s="16">
        <v>3</v>
      </c>
      <c r="F361" t="s">
        <v>36</v>
      </c>
    </row>
    <row r="362" spans="2:6">
      <c r="B362" s="17">
        <v>42522</v>
      </c>
      <c r="C362" s="21">
        <f t="shared" si="5"/>
        <v>2016</v>
      </c>
      <c r="D362" s="18" t="s">
        <v>38</v>
      </c>
      <c r="E362" s="16">
        <v>4</v>
      </c>
      <c r="F362" t="s">
        <v>38</v>
      </c>
    </row>
    <row r="363" spans="2:6">
      <c r="B363" s="17">
        <v>42522</v>
      </c>
      <c r="C363" s="21">
        <f t="shared" si="5"/>
        <v>2016</v>
      </c>
      <c r="D363" s="18" t="s">
        <v>40</v>
      </c>
      <c r="E363" s="19">
        <v>18.36</v>
      </c>
      <c r="F363" s="18" t="s">
        <v>40</v>
      </c>
    </row>
    <row r="364" spans="2:6">
      <c r="B364" s="17">
        <v>42552</v>
      </c>
      <c r="C364" s="21">
        <f t="shared" si="5"/>
        <v>2016</v>
      </c>
      <c r="D364" s="18" t="s">
        <v>120</v>
      </c>
      <c r="E364" s="16">
        <v>70</v>
      </c>
      <c r="F364" t="s">
        <v>3</v>
      </c>
    </row>
    <row r="365" spans="2:6">
      <c r="B365" s="17">
        <v>42552</v>
      </c>
      <c r="C365" s="21">
        <f t="shared" si="5"/>
        <v>2016</v>
      </c>
      <c r="D365" s="18" t="s">
        <v>121</v>
      </c>
      <c r="E365" s="16">
        <v>52</v>
      </c>
      <c r="F365" t="s">
        <v>33</v>
      </c>
    </row>
    <row r="366" spans="2:6">
      <c r="B366" s="17">
        <v>42552</v>
      </c>
      <c r="C366" s="21">
        <f t="shared" si="5"/>
        <v>2016</v>
      </c>
      <c r="D366" s="18" t="s">
        <v>122</v>
      </c>
      <c r="E366" s="16">
        <v>37</v>
      </c>
      <c r="F366" t="s">
        <v>3</v>
      </c>
    </row>
    <row r="367" spans="2:6">
      <c r="B367" s="17">
        <v>42552</v>
      </c>
      <c r="C367" s="21">
        <f t="shared" si="5"/>
        <v>2016</v>
      </c>
      <c r="D367" s="18" t="s">
        <v>123</v>
      </c>
      <c r="E367" s="16">
        <v>10</v>
      </c>
      <c r="F367" t="s">
        <v>33</v>
      </c>
    </row>
    <row r="368" spans="2:6">
      <c r="B368" s="17">
        <v>42552</v>
      </c>
      <c r="C368" s="21">
        <f t="shared" si="5"/>
        <v>2016</v>
      </c>
      <c r="D368" s="18" t="s">
        <v>124</v>
      </c>
      <c r="E368" s="16">
        <v>35</v>
      </c>
      <c r="F368" t="s">
        <v>3</v>
      </c>
    </row>
    <row r="369" spans="2:6">
      <c r="B369" s="17">
        <v>42552</v>
      </c>
      <c r="C369" s="21">
        <f t="shared" si="5"/>
        <v>2016</v>
      </c>
      <c r="D369" s="18" t="s">
        <v>125</v>
      </c>
      <c r="E369" s="16">
        <v>18</v>
      </c>
      <c r="F369" t="s">
        <v>33</v>
      </c>
    </row>
    <row r="370" spans="2:6">
      <c r="B370" s="17">
        <v>42552</v>
      </c>
      <c r="C370" s="21">
        <f t="shared" si="5"/>
        <v>2016</v>
      </c>
      <c r="D370" s="18" t="s">
        <v>126</v>
      </c>
      <c r="E370" s="16">
        <v>59</v>
      </c>
      <c r="F370" t="s">
        <v>3</v>
      </c>
    </row>
    <row r="371" spans="2:6">
      <c r="B371" s="17">
        <v>42552</v>
      </c>
      <c r="C371" s="21">
        <f t="shared" si="5"/>
        <v>2016</v>
      </c>
      <c r="D371" s="18" t="s">
        <v>127</v>
      </c>
      <c r="E371" s="16">
        <v>35</v>
      </c>
      <c r="F371" t="s">
        <v>33</v>
      </c>
    </row>
    <row r="372" spans="2:6">
      <c r="B372" s="17">
        <v>42552</v>
      </c>
      <c r="C372" s="21">
        <f t="shared" si="5"/>
        <v>2016</v>
      </c>
      <c r="D372" s="18" t="s">
        <v>35</v>
      </c>
      <c r="E372" s="16">
        <v>104.28</v>
      </c>
      <c r="F372" t="s">
        <v>35</v>
      </c>
    </row>
    <row r="373" spans="2:6">
      <c r="B373" s="17">
        <v>42552</v>
      </c>
      <c r="C373" s="21">
        <f t="shared" si="5"/>
        <v>2016</v>
      </c>
      <c r="D373" s="18" t="s">
        <v>36</v>
      </c>
      <c r="E373" s="16">
        <v>3</v>
      </c>
      <c r="F373" t="s">
        <v>36</v>
      </c>
    </row>
    <row r="374" spans="2:6">
      <c r="B374" s="17">
        <v>42552</v>
      </c>
      <c r="C374" s="21">
        <f t="shared" si="5"/>
        <v>2016</v>
      </c>
      <c r="D374" s="18" t="s">
        <v>38</v>
      </c>
      <c r="E374" s="16">
        <v>5</v>
      </c>
      <c r="F374" t="s">
        <v>38</v>
      </c>
    </row>
    <row r="375" spans="2:6">
      <c r="B375" s="17">
        <v>42552</v>
      </c>
      <c r="C375" s="21">
        <f t="shared" si="5"/>
        <v>2016</v>
      </c>
      <c r="D375" s="18" t="s">
        <v>40</v>
      </c>
      <c r="E375" s="19">
        <v>17.24</v>
      </c>
      <c r="F375" s="18" t="s">
        <v>40</v>
      </c>
    </row>
    <row r="376" spans="2:6">
      <c r="B376" s="17">
        <v>42583</v>
      </c>
      <c r="C376" s="21">
        <f t="shared" si="5"/>
        <v>2016</v>
      </c>
      <c r="D376" s="18" t="s">
        <v>120</v>
      </c>
      <c r="E376" s="16">
        <v>75</v>
      </c>
      <c r="F376" t="s">
        <v>3</v>
      </c>
    </row>
    <row r="377" spans="2:6">
      <c r="B377" s="17">
        <v>42583</v>
      </c>
      <c r="C377" s="21">
        <f t="shared" si="5"/>
        <v>2016</v>
      </c>
      <c r="D377" s="18" t="s">
        <v>121</v>
      </c>
      <c r="E377" s="16">
        <v>47</v>
      </c>
      <c r="F377" t="s">
        <v>33</v>
      </c>
    </row>
    <row r="378" spans="2:6">
      <c r="B378" s="17">
        <v>42583</v>
      </c>
      <c r="C378" s="21">
        <f t="shared" si="5"/>
        <v>2016</v>
      </c>
      <c r="D378" s="18" t="s">
        <v>122</v>
      </c>
      <c r="E378" s="16">
        <v>27</v>
      </c>
      <c r="F378" t="s">
        <v>3</v>
      </c>
    </row>
    <row r="379" spans="2:6">
      <c r="B379" s="17">
        <v>42583</v>
      </c>
      <c r="C379" s="21">
        <f t="shared" si="5"/>
        <v>2016</v>
      </c>
      <c r="D379" s="18" t="s">
        <v>123</v>
      </c>
      <c r="E379" s="16">
        <v>19</v>
      </c>
      <c r="F379" t="s">
        <v>33</v>
      </c>
    </row>
    <row r="380" spans="2:6">
      <c r="B380" s="17">
        <v>42583</v>
      </c>
      <c r="C380" s="21">
        <f t="shared" si="5"/>
        <v>2016</v>
      </c>
      <c r="D380" s="18" t="s">
        <v>124</v>
      </c>
      <c r="E380" s="16">
        <v>45</v>
      </c>
      <c r="F380" t="s">
        <v>3</v>
      </c>
    </row>
    <row r="381" spans="2:6">
      <c r="B381" s="17">
        <v>42583</v>
      </c>
      <c r="C381" s="21">
        <f t="shared" si="5"/>
        <v>2016</v>
      </c>
      <c r="D381" s="18" t="s">
        <v>125</v>
      </c>
      <c r="E381" s="16">
        <v>11</v>
      </c>
      <c r="F381" t="s">
        <v>33</v>
      </c>
    </row>
    <row r="382" spans="2:6">
      <c r="B382" s="17">
        <v>42583</v>
      </c>
      <c r="C382" s="21">
        <f t="shared" si="5"/>
        <v>2016</v>
      </c>
      <c r="D382" s="18" t="s">
        <v>126</v>
      </c>
      <c r="E382" s="16">
        <v>59</v>
      </c>
      <c r="F382" t="s">
        <v>3</v>
      </c>
    </row>
    <row r="383" spans="2:6">
      <c r="B383" s="17">
        <v>42583</v>
      </c>
      <c r="C383" s="21">
        <f t="shared" si="5"/>
        <v>2016</v>
      </c>
      <c r="D383" s="18" t="s">
        <v>127</v>
      </c>
      <c r="E383" s="16">
        <v>30</v>
      </c>
      <c r="F383" t="s">
        <v>33</v>
      </c>
    </row>
    <row r="384" spans="2:6">
      <c r="B384" s="17">
        <v>42583</v>
      </c>
      <c r="C384" s="21">
        <f t="shared" si="5"/>
        <v>2016</v>
      </c>
      <c r="D384" s="18" t="s">
        <v>35</v>
      </c>
      <c r="E384" s="16">
        <v>78.25</v>
      </c>
      <c r="F384" t="s">
        <v>35</v>
      </c>
    </row>
    <row r="385" spans="2:6">
      <c r="B385" s="17">
        <v>42583</v>
      </c>
      <c r="C385" s="21">
        <f t="shared" si="5"/>
        <v>2016</v>
      </c>
      <c r="D385" s="18" t="s">
        <v>36</v>
      </c>
      <c r="E385" s="16">
        <v>4</v>
      </c>
      <c r="F385" t="s">
        <v>36</v>
      </c>
    </row>
    <row r="386" spans="2:6">
      <c r="B386" s="17">
        <v>42583</v>
      </c>
      <c r="C386" s="21">
        <f t="shared" si="5"/>
        <v>2016</v>
      </c>
      <c r="D386" s="18" t="s">
        <v>38</v>
      </c>
      <c r="E386" s="16">
        <v>5</v>
      </c>
      <c r="F386" t="s">
        <v>38</v>
      </c>
    </row>
    <row r="387" spans="2:6">
      <c r="B387" s="17">
        <v>42583</v>
      </c>
      <c r="C387" s="21">
        <f t="shared" si="5"/>
        <v>2016</v>
      </c>
      <c r="D387" s="18" t="s">
        <v>40</v>
      </c>
      <c r="E387" s="19">
        <v>17.84</v>
      </c>
      <c r="F387" s="18" t="s">
        <v>40</v>
      </c>
    </row>
    <row r="388" spans="2:6">
      <c r="B388" s="17">
        <v>42614</v>
      </c>
      <c r="C388" s="21">
        <f t="shared" si="5"/>
        <v>2016</v>
      </c>
      <c r="D388" s="18" t="s">
        <v>120</v>
      </c>
      <c r="E388" s="16">
        <v>65</v>
      </c>
      <c r="F388" t="s">
        <v>3</v>
      </c>
    </row>
    <row r="389" spans="2:6">
      <c r="B389" s="17">
        <v>42614</v>
      </c>
      <c r="C389" s="21">
        <f t="shared" ref="C389:C438" si="6">YEAR(B389)</f>
        <v>2016</v>
      </c>
      <c r="D389" s="18" t="s">
        <v>121</v>
      </c>
      <c r="E389" s="16">
        <v>47</v>
      </c>
      <c r="F389" t="s">
        <v>33</v>
      </c>
    </row>
    <row r="390" spans="2:6">
      <c r="B390" s="17">
        <v>42614</v>
      </c>
      <c r="C390" s="21">
        <f t="shared" si="6"/>
        <v>2016</v>
      </c>
      <c r="D390" s="18" t="s">
        <v>122</v>
      </c>
      <c r="E390" s="16">
        <v>38</v>
      </c>
      <c r="F390" t="s">
        <v>3</v>
      </c>
    </row>
    <row r="391" spans="2:6">
      <c r="B391" s="17">
        <v>42614</v>
      </c>
      <c r="C391" s="21">
        <f t="shared" si="6"/>
        <v>2016</v>
      </c>
      <c r="D391" s="18" t="s">
        <v>123</v>
      </c>
      <c r="E391" s="16">
        <v>13</v>
      </c>
      <c r="F391" t="s">
        <v>33</v>
      </c>
    </row>
    <row r="392" spans="2:6">
      <c r="B392" s="17">
        <v>42614</v>
      </c>
      <c r="C392" s="21">
        <f t="shared" si="6"/>
        <v>2016</v>
      </c>
      <c r="D392" s="18" t="s">
        <v>124</v>
      </c>
      <c r="E392" s="16">
        <v>39</v>
      </c>
      <c r="F392" t="s">
        <v>3</v>
      </c>
    </row>
    <row r="393" spans="2:6">
      <c r="B393" s="17">
        <v>42614</v>
      </c>
      <c r="C393" s="21">
        <f t="shared" si="6"/>
        <v>2016</v>
      </c>
      <c r="D393" s="18" t="s">
        <v>125</v>
      </c>
      <c r="E393" s="16">
        <v>11</v>
      </c>
      <c r="F393" t="s">
        <v>33</v>
      </c>
    </row>
    <row r="394" spans="2:6">
      <c r="B394" s="17">
        <v>42614</v>
      </c>
      <c r="C394" s="21">
        <f t="shared" si="6"/>
        <v>2016</v>
      </c>
      <c r="D394" s="18" t="s">
        <v>126</v>
      </c>
      <c r="E394" s="16">
        <v>58</v>
      </c>
      <c r="F394" t="s">
        <v>3</v>
      </c>
    </row>
    <row r="395" spans="2:6">
      <c r="B395" s="17">
        <v>42614</v>
      </c>
      <c r="C395" s="21">
        <f t="shared" si="6"/>
        <v>2016</v>
      </c>
      <c r="D395" s="18" t="s">
        <v>127</v>
      </c>
      <c r="E395" s="16">
        <v>32</v>
      </c>
      <c r="F395" t="s">
        <v>33</v>
      </c>
    </row>
    <row r="396" spans="2:6">
      <c r="B396" s="17">
        <v>42614</v>
      </c>
      <c r="C396" s="21">
        <f t="shared" si="6"/>
        <v>2016</v>
      </c>
      <c r="D396" s="18" t="s">
        <v>35</v>
      </c>
      <c r="E396" s="16">
        <v>78.78</v>
      </c>
      <c r="F396" t="s">
        <v>35</v>
      </c>
    </row>
    <row r="397" spans="2:6">
      <c r="B397" s="17">
        <v>42614</v>
      </c>
      <c r="C397" s="21">
        <f t="shared" si="6"/>
        <v>2016</v>
      </c>
      <c r="D397" s="18" t="s">
        <v>36</v>
      </c>
      <c r="E397" s="16">
        <v>3</v>
      </c>
      <c r="F397" t="s">
        <v>36</v>
      </c>
    </row>
    <row r="398" spans="2:6">
      <c r="B398" s="17">
        <v>42614</v>
      </c>
      <c r="C398" s="21">
        <f t="shared" si="6"/>
        <v>2016</v>
      </c>
      <c r="D398" s="18" t="s">
        <v>38</v>
      </c>
      <c r="E398" s="16">
        <v>4</v>
      </c>
      <c r="F398" t="s">
        <v>38</v>
      </c>
    </row>
    <row r="399" spans="2:6">
      <c r="B399" s="17">
        <v>42614</v>
      </c>
      <c r="C399" s="21">
        <f t="shared" si="6"/>
        <v>2016</v>
      </c>
      <c r="D399" s="18" t="s">
        <v>40</v>
      </c>
      <c r="E399" s="19">
        <v>17.17</v>
      </c>
      <c r="F399" s="18" t="s">
        <v>40</v>
      </c>
    </row>
    <row r="400" spans="2:6">
      <c r="B400" s="17">
        <v>42644</v>
      </c>
      <c r="C400" s="21">
        <f t="shared" si="6"/>
        <v>2016</v>
      </c>
      <c r="D400" s="18" t="s">
        <v>120</v>
      </c>
      <c r="E400" s="16">
        <v>72</v>
      </c>
      <c r="F400" t="s">
        <v>3</v>
      </c>
    </row>
    <row r="401" spans="2:6">
      <c r="B401" s="17">
        <v>42644</v>
      </c>
      <c r="C401" s="21">
        <f t="shared" si="6"/>
        <v>2016</v>
      </c>
      <c r="D401" s="18" t="s">
        <v>121</v>
      </c>
      <c r="E401" s="16">
        <v>51</v>
      </c>
      <c r="F401" t="s">
        <v>33</v>
      </c>
    </row>
    <row r="402" spans="2:6">
      <c r="B402" s="17">
        <v>42644</v>
      </c>
      <c r="C402" s="21">
        <f t="shared" si="6"/>
        <v>2016</v>
      </c>
      <c r="D402" s="18" t="s">
        <v>122</v>
      </c>
      <c r="E402" s="16">
        <v>34</v>
      </c>
      <c r="F402" t="s">
        <v>3</v>
      </c>
    </row>
    <row r="403" spans="2:6">
      <c r="B403" s="17">
        <v>42644</v>
      </c>
      <c r="C403" s="21">
        <f t="shared" si="6"/>
        <v>2016</v>
      </c>
      <c r="D403" s="18" t="s">
        <v>123</v>
      </c>
      <c r="E403" s="16">
        <v>16</v>
      </c>
      <c r="F403" t="s">
        <v>33</v>
      </c>
    </row>
    <row r="404" spans="2:6">
      <c r="B404" s="17">
        <v>42644</v>
      </c>
      <c r="C404" s="21">
        <f t="shared" si="6"/>
        <v>2016</v>
      </c>
      <c r="D404" s="18" t="s">
        <v>124</v>
      </c>
      <c r="E404" s="16">
        <v>39</v>
      </c>
      <c r="F404" t="s">
        <v>3</v>
      </c>
    </row>
    <row r="405" spans="2:6">
      <c r="B405" s="17">
        <v>42644</v>
      </c>
      <c r="C405" s="21">
        <f t="shared" si="6"/>
        <v>2016</v>
      </c>
      <c r="D405" s="18" t="s">
        <v>125</v>
      </c>
      <c r="E405" s="16">
        <v>10</v>
      </c>
      <c r="F405" t="s">
        <v>33</v>
      </c>
    </row>
    <row r="406" spans="2:6">
      <c r="B406" s="17">
        <v>42644</v>
      </c>
      <c r="C406" s="21">
        <f t="shared" si="6"/>
        <v>2016</v>
      </c>
      <c r="D406" s="18" t="s">
        <v>126</v>
      </c>
      <c r="E406" s="16">
        <v>64</v>
      </c>
      <c r="F406" t="s">
        <v>3</v>
      </c>
    </row>
    <row r="407" spans="2:6">
      <c r="B407" s="17">
        <v>42644</v>
      </c>
      <c r="C407" s="21">
        <f t="shared" si="6"/>
        <v>2016</v>
      </c>
      <c r="D407" s="18" t="s">
        <v>127</v>
      </c>
      <c r="E407" s="16">
        <v>35</v>
      </c>
      <c r="F407" t="s">
        <v>33</v>
      </c>
    </row>
    <row r="408" spans="2:6">
      <c r="B408" s="17">
        <v>42644</v>
      </c>
      <c r="C408" s="21">
        <f t="shared" si="6"/>
        <v>2016</v>
      </c>
      <c r="D408" s="18" t="s">
        <v>35</v>
      </c>
      <c r="E408" s="16">
        <v>83.46</v>
      </c>
      <c r="F408" t="s">
        <v>35</v>
      </c>
    </row>
    <row r="409" spans="2:6">
      <c r="B409" s="17">
        <v>42644</v>
      </c>
      <c r="C409" s="21">
        <f t="shared" si="6"/>
        <v>2016</v>
      </c>
      <c r="D409" s="18" t="s">
        <v>36</v>
      </c>
      <c r="E409" s="16">
        <v>3</v>
      </c>
      <c r="F409" t="s">
        <v>36</v>
      </c>
    </row>
    <row r="410" spans="2:6">
      <c r="B410" s="17">
        <v>42644</v>
      </c>
      <c r="C410" s="21">
        <f t="shared" si="6"/>
        <v>2016</v>
      </c>
      <c r="D410" s="18" t="s">
        <v>38</v>
      </c>
      <c r="E410" s="16">
        <v>5</v>
      </c>
      <c r="F410" t="s">
        <v>38</v>
      </c>
    </row>
    <row r="411" spans="2:6">
      <c r="B411" s="17">
        <v>42644</v>
      </c>
      <c r="C411" s="21">
        <f t="shared" si="6"/>
        <v>2016</v>
      </c>
      <c r="D411" s="18" t="s">
        <v>40</v>
      </c>
      <c r="E411" s="19">
        <v>18.05</v>
      </c>
      <c r="F411" s="18" t="s">
        <v>40</v>
      </c>
    </row>
    <row r="412" spans="2:6">
      <c r="B412" s="17">
        <v>42675</v>
      </c>
      <c r="C412" s="21">
        <f t="shared" si="6"/>
        <v>2016</v>
      </c>
      <c r="D412" s="18" t="s">
        <v>120</v>
      </c>
      <c r="E412" s="16">
        <v>64</v>
      </c>
      <c r="F412" t="s">
        <v>3</v>
      </c>
    </row>
    <row r="413" spans="2:6">
      <c r="B413" s="17">
        <v>42675</v>
      </c>
      <c r="C413" s="21">
        <f t="shared" si="6"/>
        <v>2016</v>
      </c>
      <c r="D413" s="18" t="s">
        <v>121</v>
      </c>
      <c r="E413" s="16">
        <v>52</v>
      </c>
      <c r="F413" t="s">
        <v>33</v>
      </c>
    </row>
    <row r="414" spans="2:6">
      <c r="B414" s="17">
        <v>42675</v>
      </c>
      <c r="C414" s="21">
        <f t="shared" si="6"/>
        <v>2016</v>
      </c>
      <c r="D414" s="18" t="s">
        <v>122</v>
      </c>
      <c r="E414" s="16">
        <v>37</v>
      </c>
      <c r="F414" t="s">
        <v>3</v>
      </c>
    </row>
    <row r="415" spans="2:6">
      <c r="B415" s="17">
        <v>42675</v>
      </c>
      <c r="C415" s="21">
        <f t="shared" si="6"/>
        <v>2016</v>
      </c>
      <c r="D415" s="18" t="s">
        <v>123</v>
      </c>
      <c r="E415" s="16">
        <v>15</v>
      </c>
      <c r="F415" t="s">
        <v>33</v>
      </c>
    </row>
    <row r="416" spans="2:6">
      <c r="B416" s="17">
        <v>42675</v>
      </c>
      <c r="C416" s="21">
        <f t="shared" si="6"/>
        <v>2016</v>
      </c>
      <c r="D416" s="18" t="s">
        <v>124</v>
      </c>
      <c r="E416" s="16">
        <v>50</v>
      </c>
      <c r="F416" t="s">
        <v>3</v>
      </c>
    </row>
    <row r="417" spans="2:6">
      <c r="B417" s="17">
        <v>42675</v>
      </c>
      <c r="C417" s="21">
        <f t="shared" si="6"/>
        <v>2016</v>
      </c>
      <c r="D417" s="18" t="s">
        <v>125</v>
      </c>
      <c r="E417" s="16">
        <v>14</v>
      </c>
      <c r="F417" t="s">
        <v>33</v>
      </c>
    </row>
    <row r="418" spans="2:6">
      <c r="B418" s="17">
        <v>42675</v>
      </c>
      <c r="C418" s="21">
        <f t="shared" si="6"/>
        <v>2016</v>
      </c>
      <c r="D418" s="18" t="s">
        <v>126</v>
      </c>
      <c r="E418" s="16">
        <v>58</v>
      </c>
      <c r="F418" t="s">
        <v>3</v>
      </c>
    </row>
    <row r="419" spans="2:6">
      <c r="B419" s="17">
        <v>42675</v>
      </c>
      <c r="C419" s="21">
        <f t="shared" si="6"/>
        <v>2016</v>
      </c>
      <c r="D419" s="18" t="s">
        <v>127</v>
      </c>
      <c r="E419" s="16">
        <v>33</v>
      </c>
      <c r="F419" t="s">
        <v>33</v>
      </c>
    </row>
    <row r="420" spans="2:6">
      <c r="B420" s="17">
        <v>42675</v>
      </c>
      <c r="C420" s="21">
        <f t="shared" si="6"/>
        <v>2016</v>
      </c>
      <c r="D420" s="18" t="s">
        <v>35</v>
      </c>
      <c r="E420" s="16">
        <v>87.21</v>
      </c>
      <c r="F420" t="s">
        <v>35</v>
      </c>
    </row>
    <row r="421" spans="2:6">
      <c r="B421" s="17">
        <v>42675</v>
      </c>
      <c r="C421" s="21">
        <f t="shared" si="6"/>
        <v>2016</v>
      </c>
      <c r="D421" s="18" t="s">
        <v>36</v>
      </c>
      <c r="E421" s="16">
        <v>3</v>
      </c>
      <c r="F421" t="s">
        <v>36</v>
      </c>
    </row>
    <row r="422" spans="2:6">
      <c r="B422" s="17">
        <v>42675</v>
      </c>
      <c r="C422" s="21">
        <f t="shared" si="6"/>
        <v>2016</v>
      </c>
      <c r="D422" s="18" t="s">
        <v>38</v>
      </c>
      <c r="E422" s="16">
        <v>5</v>
      </c>
      <c r="F422" t="s">
        <v>38</v>
      </c>
    </row>
    <row r="423" spans="2:6">
      <c r="B423" s="17">
        <v>42675</v>
      </c>
      <c r="C423" s="21">
        <f t="shared" si="6"/>
        <v>2016</v>
      </c>
      <c r="D423" s="18" t="s">
        <v>40</v>
      </c>
      <c r="E423" s="19">
        <v>18.01</v>
      </c>
      <c r="F423" s="18" t="s">
        <v>40</v>
      </c>
    </row>
    <row r="424" spans="2:6">
      <c r="B424" s="17">
        <v>42705</v>
      </c>
      <c r="C424" s="21">
        <f t="shared" si="6"/>
        <v>2016</v>
      </c>
      <c r="D424" s="18" t="s">
        <v>120</v>
      </c>
      <c r="E424" s="16">
        <v>66</v>
      </c>
      <c r="F424" t="s">
        <v>3</v>
      </c>
    </row>
    <row r="425" spans="2:6">
      <c r="B425" s="17">
        <v>42705</v>
      </c>
      <c r="C425" s="21">
        <f t="shared" si="6"/>
        <v>2016</v>
      </c>
      <c r="D425" s="18" t="s">
        <v>121</v>
      </c>
      <c r="E425" s="16">
        <v>56</v>
      </c>
      <c r="F425" t="s">
        <v>33</v>
      </c>
    </row>
    <row r="426" spans="2:6">
      <c r="B426" s="17">
        <v>42705</v>
      </c>
      <c r="C426" s="21">
        <f t="shared" si="6"/>
        <v>2016</v>
      </c>
      <c r="D426" s="18" t="s">
        <v>122</v>
      </c>
      <c r="E426" s="16">
        <v>38</v>
      </c>
      <c r="F426" t="s">
        <v>3</v>
      </c>
    </row>
    <row r="427" spans="2:6">
      <c r="B427" s="17">
        <v>42705</v>
      </c>
      <c r="C427" s="21">
        <f t="shared" si="6"/>
        <v>2016</v>
      </c>
      <c r="D427" s="18" t="s">
        <v>123</v>
      </c>
      <c r="E427" s="16">
        <v>13</v>
      </c>
      <c r="F427" t="s">
        <v>33</v>
      </c>
    </row>
    <row r="428" spans="2:6">
      <c r="B428" s="17">
        <v>42705</v>
      </c>
      <c r="C428" s="21">
        <f t="shared" si="6"/>
        <v>2016</v>
      </c>
      <c r="D428" s="18" t="s">
        <v>124</v>
      </c>
      <c r="E428" s="16">
        <v>41</v>
      </c>
      <c r="F428" t="s">
        <v>3</v>
      </c>
    </row>
    <row r="429" spans="2:6">
      <c r="B429" s="17">
        <v>42705</v>
      </c>
      <c r="C429" s="21">
        <f t="shared" si="6"/>
        <v>2016</v>
      </c>
      <c r="D429" s="18" t="s">
        <v>125</v>
      </c>
      <c r="E429" s="16">
        <v>18</v>
      </c>
      <c r="F429" t="s">
        <v>33</v>
      </c>
    </row>
    <row r="430" spans="2:6">
      <c r="B430" s="17">
        <v>42705</v>
      </c>
      <c r="C430" s="21">
        <f t="shared" si="6"/>
        <v>2016</v>
      </c>
      <c r="D430" s="18" t="s">
        <v>126</v>
      </c>
      <c r="E430" s="16">
        <v>65</v>
      </c>
      <c r="F430" t="s">
        <v>3</v>
      </c>
    </row>
    <row r="431" spans="2:6">
      <c r="B431" s="17">
        <v>42705</v>
      </c>
      <c r="C431" s="21">
        <f t="shared" si="6"/>
        <v>2016</v>
      </c>
      <c r="D431" s="18" t="s">
        <v>127</v>
      </c>
      <c r="E431" s="16">
        <v>30</v>
      </c>
      <c r="F431" t="s">
        <v>33</v>
      </c>
    </row>
    <row r="432" spans="2:6">
      <c r="B432" s="17">
        <v>42705</v>
      </c>
      <c r="C432" s="21">
        <f t="shared" si="6"/>
        <v>2016</v>
      </c>
      <c r="D432" s="18" t="s">
        <v>35</v>
      </c>
      <c r="E432" s="16">
        <v>91.56</v>
      </c>
      <c r="F432" t="s">
        <v>35</v>
      </c>
    </row>
    <row r="433" spans="2:6">
      <c r="B433" s="17">
        <v>42705</v>
      </c>
      <c r="C433" s="21">
        <f t="shared" si="6"/>
        <v>2016</v>
      </c>
      <c r="D433" s="18" t="s">
        <v>36</v>
      </c>
      <c r="E433" s="16">
        <v>4</v>
      </c>
      <c r="F433" t="s">
        <v>36</v>
      </c>
    </row>
    <row r="434" spans="2:6">
      <c r="B434" s="17">
        <v>42705</v>
      </c>
      <c r="C434" s="21">
        <f t="shared" si="6"/>
        <v>2016</v>
      </c>
      <c r="D434" s="18" t="s">
        <v>38</v>
      </c>
      <c r="E434" s="16">
        <v>4</v>
      </c>
      <c r="F434" t="s">
        <v>38</v>
      </c>
    </row>
    <row r="435" spans="2:6">
      <c r="B435" s="17">
        <v>42705</v>
      </c>
      <c r="C435" s="21">
        <f t="shared" si="6"/>
        <v>2016</v>
      </c>
      <c r="D435" s="18" t="s">
        <v>40</v>
      </c>
      <c r="E435" s="19">
        <v>18.13</v>
      </c>
      <c r="F435" s="18" t="s">
        <v>40</v>
      </c>
    </row>
    <row r="436" spans="2:6">
      <c r="B436" s="22">
        <v>41974</v>
      </c>
      <c r="C436" s="21">
        <f t="shared" si="6"/>
        <v>2014</v>
      </c>
      <c r="D436" t="s">
        <v>128</v>
      </c>
      <c r="E436">
        <v>524</v>
      </c>
      <c r="F436" t="s">
        <v>3</v>
      </c>
    </row>
    <row r="437" spans="2:6">
      <c r="B437" s="22">
        <v>42339</v>
      </c>
      <c r="C437" s="21">
        <f t="shared" si="6"/>
        <v>2015</v>
      </c>
      <c r="D437" t="s">
        <v>128</v>
      </c>
      <c r="E437">
        <v>550</v>
      </c>
      <c r="F437" t="s">
        <v>3</v>
      </c>
    </row>
    <row r="438" spans="2:6">
      <c r="B438" s="22">
        <v>42705</v>
      </c>
      <c r="C438" s="21">
        <f t="shared" si="6"/>
        <v>2016</v>
      </c>
      <c r="D438" t="s">
        <v>128</v>
      </c>
      <c r="E438">
        <v>628</v>
      </c>
      <c r="F438" t="s">
        <v>3</v>
      </c>
    </row>
  </sheetData>
  <autoFilter xmlns:etc="http://www.wps.cn/officeDocument/2017/etCustomData" ref="B3:F438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438"/>
  <sheetViews>
    <sheetView workbookViewId="0">
      <selection activeCell="A1" sqref="A1"/>
    </sheetView>
  </sheetViews>
  <sheetFormatPr defaultColWidth="9" defaultRowHeight="14.4" outlineLevelCol="3"/>
  <cols>
    <col min="2" max="2" width="14.5740740740741" customWidth="1"/>
    <col min="3" max="3" width="38.1388888888889" customWidth="1"/>
  </cols>
  <sheetData>
    <row r="3" spans="2:4">
      <c r="B3" t="s">
        <v>115</v>
      </c>
      <c r="C3" t="s">
        <v>117</v>
      </c>
      <c r="D3" s="16" t="s">
        <v>118</v>
      </c>
    </row>
    <row r="4" spans="2:4">
      <c r="B4" s="17" t="s">
        <v>129</v>
      </c>
      <c r="C4" s="18" t="s">
        <v>120</v>
      </c>
      <c r="D4" s="16">
        <v>72</v>
      </c>
    </row>
    <row r="5" spans="2:4">
      <c r="B5" s="17" t="s">
        <v>129</v>
      </c>
      <c r="C5" s="18" t="s">
        <v>121</v>
      </c>
      <c r="D5" s="16">
        <v>47</v>
      </c>
    </row>
    <row r="6" spans="2:4">
      <c r="B6" s="17" t="s">
        <v>129</v>
      </c>
      <c r="C6" s="18" t="s">
        <v>122</v>
      </c>
      <c r="D6" s="16">
        <v>37</v>
      </c>
    </row>
    <row r="7" spans="2:4">
      <c r="B7" s="17" t="s">
        <v>129</v>
      </c>
      <c r="C7" s="18" t="s">
        <v>123</v>
      </c>
      <c r="D7" s="16">
        <v>20</v>
      </c>
    </row>
    <row r="8" spans="2:4">
      <c r="B8" s="17" t="s">
        <v>129</v>
      </c>
      <c r="C8" s="18" t="s">
        <v>124</v>
      </c>
      <c r="D8" s="16">
        <v>36</v>
      </c>
    </row>
    <row r="9" spans="2:4">
      <c r="B9" s="17" t="s">
        <v>129</v>
      </c>
      <c r="C9" s="18" t="s">
        <v>125</v>
      </c>
      <c r="D9" s="16">
        <v>17</v>
      </c>
    </row>
    <row r="10" spans="2:4">
      <c r="B10" s="17" t="s">
        <v>129</v>
      </c>
      <c r="C10" s="18" t="s">
        <v>126</v>
      </c>
      <c r="D10" s="16">
        <v>57</v>
      </c>
    </row>
    <row r="11" spans="2:4">
      <c r="B11" s="17" t="s">
        <v>129</v>
      </c>
      <c r="C11" s="18" t="s">
        <v>127</v>
      </c>
      <c r="D11" s="16">
        <v>32</v>
      </c>
    </row>
    <row r="12" spans="2:4">
      <c r="B12" s="17" t="s">
        <v>129</v>
      </c>
      <c r="C12" s="18" t="s">
        <v>35</v>
      </c>
      <c r="D12" s="16">
        <v>95.4</v>
      </c>
    </row>
    <row r="13" spans="2:4">
      <c r="B13" s="17" t="s">
        <v>129</v>
      </c>
      <c r="C13" s="18" t="s">
        <v>36</v>
      </c>
      <c r="D13" s="16">
        <v>2</v>
      </c>
    </row>
    <row r="14" spans="2:4">
      <c r="B14" s="17" t="s">
        <v>129</v>
      </c>
      <c r="C14" s="18" t="s">
        <v>38</v>
      </c>
      <c r="D14" s="16">
        <v>5</v>
      </c>
    </row>
    <row r="15" spans="2:4">
      <c r="B15" s="17" t="s">
        <v>129</v>
      </c>
      <c r="C15" s="18" t="s">
        <v>40</v>
      </c>
      <c r="D15" s="19">
        <v>17.29</v>
      </c>
    </row>
    <row r="16" spans="2:4">
      <c r="B16" s="17" t="s">
        <v>130</v>
      </c>
      <c r="C16" s="18" t="s">
        <v>120</v>
      </c>
      <c r="D16" s="16">
        <v>75</v>
      </c>
    </row>
    <row r="17" spans="2:4">
      <c r="B17" s="17" t="s">
        <v>130</v>
      </c>
      <c r="C17" s="18" t="s">
        <v>121</v>
      </c>
      <c r="D17" s="16">
        <v>55</v>
      </c>
    </row>
    <row r="18" spans="2:4">
      <c r="B18" s="17" t="s">
        <v>130</v>
      </c>
      <c r="C18" s="18" t="s">
        <v>122</v>
      </c>
      <c r="D18" s="16">
        <v>26</v>
      </c>
    </row>
    <row r="19" spans="2:4">
      <c r="B19" s="17" t="s">
        <v>130</v>
      </c>
      <c r="C19" s="18" t="s">
        <v>123</v>
      </c>
      <c r="D19" s="16">
        <v>18</v>
      </c>
    </row>
    <row r="20" spans="2:4">
      <c r="B20" s="17" t="s">
        <v>130</v>
      </c>
      <c r="C20" s="18" t="s">
        <v>124</v>
      </c>
      <c r="D20" s="16">
        <v>42</v>
      </c>
    </row>
    <row r="21" spans="2:4">
      <c r="B21" s="17" t="s">
        <v>130</v>
      </c>
      <c r="C21" s="18" t="s">
        <v>125</v>
      </c>
      <c r="D21" s="16">
        <v>18</v>
      </c>
    </row>
    <row r="22" spans="2:4">
      <c r="B22" s="17" t="s">
        <v>130</v>
      </c>
      <c r="C22" s="18" t="s">
        <v>126</v>
      </c>
      <c r="D22" s="16">
        <v>54</v>
      </c>
    </row>
    <row r="23" spans="2:4">
      <c r="B23" s="17" t="s">
        <v>130</v>
      </c>
      <c r="C23" s="18" t="s">
        <v>127</v>
      </c>
      <c r="D23" s="16">
        <v>33</v>
      </c>
    </row>
    <row r="24" spans="2:4">
      <c r="B24" s="17" t="s">
        <v>130</v>
      </c>
      <c r="C24" s="18" t="s">
        <v>35</v>
      </c>
      <c r="D24" s="16">
        <v>96.3</v>
      </c>
    </row>
    <row r="25" spans="2:4">
      <c r="B25" s="17" t="s">
        <v>130</v>
      </c>
      <c r="C25" s="18" t="s">
        <v>36</v>
      </c>
      <c r="D25" s="16">
        <v>2</v>
      </c>
    </row>
    <row r="26" spans="2:4">
      <c r="B26" s="17" t="s">
        <v>130</v>
      </c>
      <c r="C26" s="18" t="s">
        <v>38</v>
      </c>
      <c r="D26" s="16">
        <v>5</v>
      </c>
    </row>
    <row r="27" spans="2:4">
      <c r="B27" s="17" t="s">
        <v>130</v>
      </c>
      <c r="C27" s="18" t="s">
        <v>40</v>
      </c>
      <c r="D27" s="19">
        <v>17</v>
      </c>
    </row>
    <row r="28" spans="2:4">
      <c r="B28" s="17" t="s">
        <v>131</v>
      </c>
      <c r="C28" s="18" t="s">
        <v>120</v>
      </c>
      <c r="D28" s="16">
        <v>69</v>
      </c>
    </row>
    <row r="29" spans="2:4">
      <c r="B29" s="17" t="s">
        <v>131</v>
      </c>
      <c r="C29" s="18" t="s">
        <v>121</v>
      </c>
      <c r="D29" s="16">
        <v>58</v>
      </c>
    </row>
    <row r="30" spans="2:4">
      <c r="B30" s="17" t="s">
        <v>131</v>
      </c>
      <c r="C30" s="18" t="s">
        <v>122</v>
      </c>
      <c r="D30" s="16">
        <v>32</v>
      </c>
    </row>
    <row r="31" spans="2:4">
      <c r="B31" s="17" t="s">
        <v>131</v>
      </c>
      <c r="C31" s="18" t="s">
        <v>123</v>
      </c>
      <c r="D31" s="16">
        <v>12</v>
      </c>
    </row>
    <row r="32" spans="2:4">
      <c r="B32" s="17" t="s">
        <v>131</v>
      </c>
      <c r="C32" s="18" t="s">
        <v>124</v>
      </c>
      <c r="D32" s="16">
        <v>41</v>
      </c>
    </row>
    <row r="33" spans="2:4">
      <c r="B33" s="17" t="s">
        <v>131</v>
      </c>
      <c r="C33" s="18" t="s">
        <v>125</v>
      </c>
      <c r="D33" s="16">
        <v>11</v>
      </c>
    </row>
    <row r="34" spans="2:4">
      <c r="B34" s="17" t="s">
        <v>131</v>
      </c>
      <c r="C34" s="18" t="s">
        <v>126</v>
      </c>
      <c r="D34" s="16">
        <v>64</v>
      </c>
    </row>
    <row r="35" spans="2:4">
      <c r="B35" s="17" t="s">
        <v>131</v>
      </c>
      <c r="C35" s="18" t="s">
        <v>127</v>
      </c>
      <c r="D35" s="16">
        <v>35</v>
      </c>
    </row>
    <row r="36" spans="2:4">
      <c r="B36" s="17" t="s">
        <v>131</v>
      </c>
      <c r="C36" s="18" t="s">
        <v>35</v>
      </c>
      <c r="D36" s="16">
        <v>96.6</v>
      </c>
    </row>
    <row r="37" spans="2:4">
      <c r="B37" s="17" t="s">
        <v>131</v>
      </c>
      <c r="C37" s="18" t="s">
        <v>36</v>
      </c>
      <c r="D37" s="16">
        <v>3</v>
      </c>
    </row>
    <row r="38" spans="2:4">
      <c r="B38" s="17" t="s">
        <v>131</v>
      </c>
      <c r="C38" s="18" t="s">
        <v>38</v>
      </c>
      <c r="D38" s="16">
        <v>5</v>
      </c>
    </row>
    <row r="39" spans="2:4">
      <c r="B39" s="17" t="s">
        <v>131</v>
      </c>
      <c r="C39" s="18" t="s">
        <v>40</v>
      </c>
      <c r="D39" s="19">
        <v>17.85</v>
      </c>
    </row>
    <row r="40" spans="2:4">
      <c r="B40" s="17" t="s">
        <v>132</v>
      </c>
      <c r="C40" s="18" t="s">
        <v>120</v>
      </c>
      <c r="D40" s="16">
        <v>68</v>
      </c>
    </row>
    <row r="41" spans="2:4">
      <c r="B41" s="17" t="s">
        <v>132</v>
      </c>
      <c r="C41" s="18" t="s">
        <v>121</v>
      </c>
      <c r="D41" s="16">
        <v>50</v>
      </c>
    </row>
    <row r="42" spans="2:4">
      <c r="B42" s="17" t="s">
        <v>132</v>
      </c>
      <c r="C42" s="18" t="s">
        <v>122</v>
      </c>
      <c r="D42" s="16">
        <v>29</v>
      </c>
    </row>
    <row r="43" spans="2:4">
      <c r="B43" s="17" t="s">
        <v>132</v>
      </c>
      <c r="C43" s="18" t="s">
        <v>123</v>
      </c>
      <c r="D43" s="16">
        <v>19</v>
      </c>
    </row>
    <row r="44" spans="2:4">
      <c r="B44" s="17" t="s">
        <v>132</v>
      </c>
      <c r="C44" s="18" t="s">
        <v>124</v>
      </c>
      <c r="D44" s="16">
        <v>38</v>
      </c>
    </row>
    <row r="45" spans="2:4">
      <c r="B45" s="17" t="s">
        <v>132</v>
      </c>
      <c r="C45" s="18" t="s">
        <v>125</v>
      </c>
      <c r="D45" s="16">
        <v>15</v>
      </c>
    </row>
    <row r="46" spans="2:4">
      <c r="B46" s="17" t="s">
        <v>132</v>
      </c>
      <c r="C46" s="18" t="s">
        <v>126</v>
      </c>
      <c r="D46" s="16">
        <v>60</v>
      </c>
    </row>
    <row r="47" spans="2:4">
      <c r="B47" s="17" t="s">
        <v>132</v>
      </c>
      <c r="C47" s="18" t="s">
        <v>127</v>
      </c>
      <c r="D47" s="16">
        <v>32</v>
      </c>
    </row>
    <row r="48" spans="2:4">
      <c r="B48" s="17" t="s">
        <v>132</v>
      </c>
      <c r="C48" s="18" t="s">
        <v>35</v>
      </c>
      <c r="D48" s="16">
        <v>99.52</v>
      </c>
    </row>
    <row r="49" spans="2:4">
      <c r="B49" s="17" t="s">
        <v>132</v>
      </c>
      <c r="C49" s="18" t="s">
        <v>36</v>
      </c>
      <c r="D49" s="16">
        <v>2</v>
      </c>
    </row>
    <row r="50" spans="2:4">
      <c r="B50" s="17" t="s">
        <v>132</v>
      </c>
      <c r="C50" s="18" t="s">
        <v>38</v>
      </c>
      <c r="D50" s="16">
        <v>5</v>
      </c>
    </row>
    <row r="51" spans="2:4">
      <c r="B51" s="17" t="s">
        <v>132</v>
      </c>
      <c r="C51" s="18" t="s">
        <v>40</v>
      </c>
      <c r="D51" s="19">
        <v>16.89</v>
      </c>
    </row>
    <row r="52" spans="2:4">
      <c r="B52" s="17" t="s">
        <v>133</v>
      </c>
      <c r="C52" s="18" t="s">
        <v>120</v>
      </c>
      <c r="D52" s="16">
        <v>68</v>
      </c>
    </row>
    <row r="53" spans="2:4">
      <c r="B53" s="17" t="s">
        <v>133</v>
      </c>
      <c r="C53" s="18" t="s">
        <v>121</v>
      </c>
      <c r="D53" s="16">
        <v>54</v>
      </c>
    </row>
    <row r="54" spans="2:4">
      <c r="B54" s="17" t="s">
        <v>133</v>
      </c>
      <c r="C54" s="18" t="s">
        <v>122</v>
      </c>
      <c r="D54" s="16">
        <v>32</v>
      </c>
    </row>
    <row r="55" spans="2:4">
      <c r="B55" s="17" t="s">
        <v>133</v>
      </c>
      <c r="C55" s="18" t="s">
        <v>123</v>
      </c>
      <c r="D55" s="16">
        <v>19</v>
      </c>
    </row>
    <row r="56" spans="2:4">
      <c r="B56" s="17" t="s">
        <v>133</v>
      </c>
      <c r="C56" s="18" t="s">
        <v>124</v>
      </c>
      <c r="D56" s="16">
        <v>50</v>
      </c>
    </row>
    <row r="57" spans="2:4">
      <c r="B57" s="17" t="s">
        <v>133</v>
      </c>
      <c r="C57" s="18" t="s">
        <v>125</v>
      </c>
      <c r="D57" s="16">
        <v>14</v>
      </c>
    </row>
    <row r="58" spans="2:4">
      <c r="B58" s="17" t="s">
        <v>133</v>
      </c>
      <c r="C58" s="18" t="s">
        <v>126</v>
      </c>
      <c r="D58" s="16">
        <v>64</v>
      </c>
    </row>
    <row r="59" spans="2:4">
      <c r="B59" s="17" t="s">
        <v>133</v>
      </c>
      <c r="C59" s="18" t="s">
        <v>127</v>
      </c>
      <c r="D59" s="16">
        <v>30</v>
      </c>
    </row>
    <row r="60" spans="2:4">
      <c r="B60" s="17" t="s">
        <v>133</v>
      </c>
      <c r="C60" s="18" t="s">
        <v>35</v>
      </c>
      <c r="D60" s="16">
        <v>105.92</v>
      </c>
    </row>
    <row r="61" spans="2:4">
      <c r="B61" s="17" t="s">
        <v>133</v>
      </c>
      <c r="C61" s="18" t="s">
        <v>36</v>
      </c>
      <c r="D61" s="16">
        <v>3</v>
      </c>
    </row>
    <row r="62" spans="2:4">
      <c r="B62" s="17" t="s">
        <v>133</v>
      </c>
      <c r="C62" s="18" t="s">
        <v>38</v>
      </c>
      <c r="D62" s="16">
        <v>5</v>
      </c>
    </row>
    <row r="63" spans="2:4">
      <c r="B63" s="17" t="s">
        <v>133</v>
      </c>
      <c r="C63" s="18" t="s">
        <v>40</v>
      </c>
      <c r="D63" s="19">
        <v>18.58</v>
      </c>
    </row>
    <row r="64" spans="2:4">
      <c r="B64" s="17" t="s">
        <v>134</v>
      </c>
      <c r="C64" s="18" t="s">
        <v>120</v>
      </c>
      <c r="D64" s="16">
        <v>56</v>
      </c>
    </row>
    <row r="65" spans="2:4">
      <c r="B65" s="17" t="s">
        <v>134</v>
      </c>
      <c r="C65" s="18" t="s">
        <v>121</v>
      </c>
      <c r="D65" s="16">
        <v>49</v>
      </c>
    </row>
    <row r="66" spans="2:4">
      <c r="B66" s="17" t="s">
        <v>134</v>
      </c>
      <c r="C66" s="18" t="s">
        <v>122</v>
      </c>
      <c r="D66" s="16">
        <v>31</v>
      </c>
    </row>
    <row r="67" spans="2:4">
      <c r="B67" s="17" t="s">
        <v>134</v>
      </c>
      <c r="C67" s="18" t="s">
        <v>123</v>
      </c>
      <c r="D67" s="16">
        <v>14</v>
      </c>
    </row>
    <row r="68" spans="2:4">
      <c r="B68" s="17" t="s">
        <v>134</v>
      </c>
      <c r="C68" s="18" t="s">
        <v>124</v>
      </c>
      <c r="D68" s="16">
        <v>36</v>
      </c>
    </row>
    <row r="69" spans="2:4">
      <c r="B69" s="17" t="s">
        <v>134</v>
      </c>
      <c r="C69" s="18" t="s">
        <v>125</v>
      </c>
      <c r="D69" s="16">
        <v>15</v>
      </c>
    </row>
    <row r="70" spans="2:4">
      <c r="B70" s="17" t="s">
        <v>134</v>
      </c>
      <c r="C70" s="18" t="s">
        <v>126</v>
      </c>
      <c r="D70" s="16">
        <v>57</v>
      </c>
    </row>
    <row r="71" spans="2:4">
      <c r="B71" s="17" t="s">
        <v>134</v>
      </c>
      <c r="C71" s="18" t="s">
        <v>127</v>
      </c>
      <c r="D71" s="16">
        <v>33</v>
      </c>
    </row>
    <row r="72" spans="2:4">
      <c r="B72" s="17" t="s">
        <v>134</v>
      </c>
      <c r="C72" s="18" t="s">
        <v>35</v>
      </c>
      <c r="D72" s="16">
        <v>93.12</v>
      </c>
    </row>
    <row r="73" spans="2:4">
      <c r="B73" s="17" t="s">
        <v>134</v>
      </c>
      <c r="C73" s="18" t="s">
        <v>36</v>
      </c>
      <c r="D73" s="16">
        <v>3</v>
      </c>
    </row>
    <row r="74" spans="2:4">
      <c r="B74" s="17" t="s">
        <v>134</v>
      </c>
      <c r="C74" s="18" t="s">
        <v>38</v>
      </c>
      <c r="D74" s="16">
        <v>4</v>
      </c>
    </row>
    <row r="75" spans="2:4">
      <c r="B75" s="17" t="s">
        <v>134</v>
      </c>
      <c r="C75" s="18" t="s">
        <v>40</v>
      </c>
      <c r="D75" s="19">
        <v>15.59</v>
      </c>
    </row>
    <row r="76" spans="2:4">
      <c r="B76" s="17" t="s">
        <v>135</v>
      </c>
      <c r="C76" s="18" t="s">
        <v>120</v>
      </c>
      <c r="D76" s="16">
        <v>66</v>
      </c>
    </row>
    <row r="77" spans="2:4">
      <c r="B77" s="17" t="s">
        <v>135</v>
      </c>
      <c r="C77" s="18" t="s">
        <v>121</v>
      </c>
      <c r="D77" s="16">
        <v>55</v>
      </c>
    </row>
    <row r="78" spans="2:4">
      <c r="B78" s="17" t="s">
        <v>135</v>
      </c>
      <c r="C78" s="18" t="s">
        <v>122</v>
      </c>
      <c r="D78" s="16">
        <v>38</v>
      </c>
    </row>
    <row r="79" spans="2:4">
      <c r="B79" s="17" t="s">
        <v>135</v>
      </c>
      <c r="C79" s="18" t="s">
        <v>123</v>
      </c>
      <c r="D79" s="16">
        <v>17</v>
      </c>
    </row>
    <row r="80" spans="2:4">
      <c r="B80" s="17" t="s">
        <v>135</v>
      </c>
      <c r="C80" s="18" t="s">
        <v>124</v>
      </c>
      <c r="D80" s="16">
        <v>43</v>
      </c>
    </row>
    <row r="81" spans="2:4">
      <c r="B81" s="17" t="s">
        <v>135</v>
      </c>
      <c r="C81" s="18" t="s">
        <v>125</v>
      </c>
      <c r="D81" s="16">
        <v>17</v>
      </c>
    </row>
    <row r="82" spans="2:4">
      <c r="B82" s="17" t="s">
        <v>135</v>
      </c>
      <c r="C82" s="18" t="s">
        <v>126</v>
      </c>
      <c r="D82" s="16">
        <v>68</v>
      </c>
    </row>
    <row r="83" spans="2:4">
      <c r="B83" s="17" t="s">
        <v>135</v>
      </c>
      <c r="C83" s="18" t="s">
        <v>127</v>
      </c>
      <c r="D83" s="16">
        <v>33</v>
      </c>
    </row>
    <row r="84" spans="2:4">
      <c r="B84" s="17" t="s">
        <v>135</v>
      </c>
      <c r="C84" s="18" t="s">
        <v>35</v>
      </c>
      <c r="D84" s="16">
        <v>114.58</v>
      </c>
    </row>
    <row r="85" spans="2:4">
      <c r="B85" s="17" t="s">
        <v>135</v>
      </c>
      <c r="C85" s="18" t="s">
        <v>36</v>
      </c>
      <c r="D85" s="16">
        <v>3</v>
      </c>
    </row>
    <row r="86" spans="2:4">
      <c r="B86" s="17" t="s">
        <v>135</v>
      </c>
      <c r="C86" s="18" t="s">
        <v>38</v>
      </c>
      <c r="D86" s="16">
        <v>4</v>
      </c>
    </row>
    <row r="87" spans="2:4">
      <c r="B87" s="17" t="s">
        <v>135</v>
      </c>
      <c r="C87" s="18" t="s">
        <v>40</v>
      </c>
      <c r="D87" s="19">
        <v>18.61</v>
      </c>
    </row>
    <row r="88" spans="2:4">
      <c r="B88" s="17" t="s">
        <v>136</v>
      </c>
      <c r="C88" s="18" t="s">
        <v>120</v>
      </c>
      <c r="D88" s="16">
        <v>57</v>
      </c>
    </row>
    <row r="89" spans="2:4">
      <c r="B89" s="17" t="s">
        <v>136</v>
      </c>
      <c r="C89" s="18" t="s">
        <v>121</v>
      </c>
      <c r="D89" s="16">
        <v>52</v>
      </c>
    </row>
    <row r="90" spans="2:4">
      <c r="B90" s="17" t="s">
        <v>136</v>
      </c>
      <c r="C90" s="18" t="s">
        <v>122</v>
      </c>
      <c r="D90" s="16">
        <v>35</v>
      </c>
    </row>
    <row r="91" spans="2:4">
      <c r="B91" s="17" t="s">
        <v>136</v>
      </c>
      <c r="C91" s="18" t="s">
        <v>123</v>
      </c>
      <c r="D91" s="16">
        <v>19</v>
      </c>
    </row>
    <row r="92" spans="2:4">
      <c r="B92" s="17" t="s">
        <v>136</v>
      </c>
      <c r="C92" s="18" t="s">
        <v>124</v>
      </c>
      <c r="D92" s="16">
        <v>38</v>
      </c>
    </row>
    <row r="93" spans="2:4">
      <c r="B93" s="17" t="s">
        <v>136</v>
      </c>
      <c r="C93" s="18" t="s">
        <v>125</v>
      </c>
      <c r="D93" s="16">
        <v>16</v>
      </c>
    </row>
    <row r="94" spans="2:4">
      <c r="B94" s="17" t="s">
        <v>136</v>
      </c>
      <c r="C94" s="18" t="s">
        <v>126</v>
      </c>
      <c r="D94" s="16">
        <v>57</v>
      </c>
    </row>
    <row r="95" spans="2:4">
      <c r="B95" s="17" t="s">
        <v>136</v>
      </c>
      <c r="C95" s="18" t="s">
        <v>127</v>
      </c>
      <c r="D95" s="16">
        <v>33</v>
      </c>
    </row>
    <row r="96" spans="2:4">
      <c r="B96" s="17" t="s">
        <v>136</v>
      </c>
      <c r="C96" s="18" t="s">
        <v>35</v>
      </c>
      <c r="D96" s="16">
        <v>104.38</v>
      </c>
    </row>
    <row r="97" spans="2:4">
      <c r="B97" s="17" t="s">
        <v>136</v>
      </c>
      <c r="C97" s="18" t="s">
        <v>36</v>
      </c>
      <c r="D97" s="16">
        <v>3</v>
      </c>
    </row>
    <row r="98" spans="2:4">
      <c r="B98" s="17" t="s">
        <v>136</v>
      </c>
      <c r="C98" s="18" t="s">
        <v>38</v>
      </c>
      <c r="D98" s="16">
        <v>5</v>
      </c>
    </row>
    <row r="99" spans="2:4">
      <c r="B99" s="17" t="s">
        <v>136</v>
      </c>
      <c r="C99" s="18" t="s">
        <v>40</v>
      </c>
      <c r="D99" s="19">
        <v>16.13</v>
      </c>
    </row>
    <row r="100" spans="2:4">
      <c r="B100" s="17" t="s">
        <v>137</v>
      </c>
      <c r="C100" s="18" t="s">
        <v>120</v>
      </c>
      <c r="D100" s="16">
        <v>60</v>
      </c>
    </row>
    <row r="101" spans="2:4">
      <c r="B101" s="17" t="s">
        <v>137</v>
      </c>
      <c r="C101" s="18" t="s">
        <v>121</v>
      </c>
      <c r="D101" s="16">
        <v>57</v>
      </c>
    </row>
    <row r="102" spans="2:4">
      <c r="B102" s="17" t="s">
        <v>137</v>
      </c>
      <c r="C102" s="18" t="s">
        <v>122</v>
      </c>
      <c r="D102" s="16">
        <v>28</v>
      </c>
    </row>
    <row r="103" spans="2:4">
      <c r="B103" s="17" t="s">
        <v>137</v>
      </c>
      <c r="C103" s="18" t="s">
        <v>123</v>
      </c>
      <c r="D103" s="16">
        <v>11</v>
      </c>
    </row>
    <row r="104" spans="2:4">
      <c r="B104" s="17" t="s">
        <v>137</v>
      </c>
      <c r="C104" s="18" t="s">
        <v>124</v>
      </c>
      <c r="D104" s="16">
        <v>44</v>
      </c>
    </row>
    <row r="105" spans="2:4">
      <c r="B105" s="17" t="s">
        <v>137</v>
      </c>
      <c r="C105" s="18" t="s">
        <v>125</v>
      </c>
      <c r="D105" s="16">
        <v>12</v>
      </c>
    </row>
    <row r="106" spans="2:4">
      <c r="B106" s="17" t="s">
        <v>137</v>
      </c>
      <c r="C106" s="18" t="s">
        <v>126</v>
      </c>
      <c r="D106" s="16">
        <v>67</v>
      </c>
    </row>
    <row r="107" spans="2:4">
      <c r="B107" s="17" t="s">
        <v>137</v>
      </c>
      <c r="C107" s="18" t="s">
        <v>127</v>
      </c>
      <c r="D107" s="16">
        <v>31</v>
      </c>
    </row>
    <row r="108" spans="2:4">
      <c r="B108" s="17" t="s">
        <v>137</v>
      </c>
      <c r="C108" s="18" t="s">
        <v>35</v>
      </c>
      <c r="D108" s="16">
        <v>108.5</v>
      </c>
    </row>
    <row r="109" spans="2:4">
      <c r="B109" s="17" t="s">
        <v>137</v>
      </c>
      <c r="C109" s="18" t="s">
        <v>36</v>
      </c>
      <c r="D109" s="16">
        <v>2</v>
      </c>
    </row>
    <row r="110" spans="2:4">
      <c r="B110" s="17" t="s">
        <v>137</v>
      </c>
      <c r="C110" s="18" t="s">
        <v>38</v>
      </c>
      <c r="D110" s="16">
        <v>4</v>
      </c>
    </row>
    <row r="111" spans="2:4">
      <c r="B111" s="17" t="s">
        <v>137</v>
      </c>
      <c r="C111" s="18" t="s">
        <v>40</v>
      </c>
      <c r="D111" s="19">
        <v>17.42</v>
      </c>
    </row>
    <row r="112" spans="2:4">
      <c r="B112" s="17" t="s">
        <v>138</v>
      </c>
      <c r="C112" s="18" t="s">
        <v>120</v>
      </c>
      <c r="D112" s="16">
        <v>59</v>
      </c>
    </row>
    <row r="113" spans="2:4">
      <c r="B113" s="17" t="s">
        <v>138</v>
      </c>
      <c r="C113" s="18" t="s">
        <v>121</v>
      </c>
      <c r="D113" s="16">
        <v>57</v>
      </c>
    </row>
    <row r="114" spans="2:4">
      <c r="B114" s="17" t="s">
        <v>138</v>
      </c>
      <c r="C114" s="18" t="s">
        <v>122</v>
      </c>
      <c r="D114" s="16">
        <v>40</v>
      </c>
    </row>
    <row r="115" spans="2:4">
      <c r="B115" s="17" t="s">
        <v>138</v>
      </c>
      <c r="C115" s="18" t="s">
        <v>123</v>
      </c>
      <c r="D115" s="16">
        <v>11</v>
      </c>
    </row>
    <row r="116" spans="2:4">
      <c r="B116" s="17" t="s">
        <v>138</v>
      </c>
      <c r="C116" s="18" t="s">
        <v>124</v>
      </c>
      <c r="D116" s="16">
        <v>35</v>
      </c>
    </row>
    <row r="117" spans="2:4">
      <c r="B117" s="17" t="s">
        <v>138</v>
      </c>
      <c r="C117" s="18" t="s">
        <v>125</v>
      </c>
      <c r="D117" s="16">
        <v>15</v>
      </c>
    </row>
    <row r="118" spans="2:4">
      <c r="B118" s="17" t="s">
        <v>138</v>
      </c>
      <c r="C118" s="18" t="s">
        <v>126</v>
      </c>
      <c r="D118" s="16">
        <v>61</v>
      </c>
    </row>
    <row r="119" spans="2:4">
      <c r="B119" s="17" t="s">
        <v>138</v>
      </c>
      <c r="C119" s="18" t="s">
        <v>127</v>
      </c>
      <c r="D119" s="16">
        <v>35</v>
      </c>
    </row>
    <row r="120" spans="2:4">
      <c r="B120" s="17" t="s">
        <v>138</v>
      </c>
      <c r="C120" s="18" t="s">
        <v>35</v>
      </c>
      <c r="D120" s="16">
        <v>97.03</v>
      </c>
    </row>
    <row r="121" spans="2:4">
      <c r="B121" s="17" t="s">
        <v>138</v>
      </c>
      <c r="C121" s="18" t="s">
        <v>36</v>
      </c>
      <c r="D121" s="16">
        <v>3</v>
      </c>
    </row>
    <row r="122" spans="2:4">
      <c r="B122" s="17" t="s">
        <v>138</v>
      </c>
      <c r="C122" s="18" t="s">
        <v>38</v>
      </c>
      <c r="D122" s="16">
        <v>4</v>
      </c>
    </row>
    <row r="123" spans="2:4">
      <c r="B123" s="17" t="s">
        <v>138</v>
      </c>
      <c r="C123" s="18" t="s">
        <v>40</v>
      </c>
      <c r="D123" s="19">
        <v>16.77</v>
      </c>
    </row>
    <row r="124" spans="2:4">
      <c r="B124" s="17" t="s">
        <v>139</v>
      </c>
      <c r="C124" s="18" t="s">
        <v>120</v>
      </c>
      <c r="D124" s="16">
        <v>69</v>
      </c>
    </row>
    <row r="125" spans="2:4">
      <c r="B125" s="17" t="s">
        <v>139</v>
      </c>
      <c r="C125" s="18" t="s">
        <v>121</v>
      </c>
      <c r="D125" s="16">
        <v>45</v>
      </c>
    </row>
    <row r="126" spans="2:4">
      <c r="B126" s="17" t="s">
        <v>139</v>
      </c>
      <c r="C126" s="18" t="s">
        <v>122</v>
      </c>
      <c r="D126" s="16">
        <v>25</v>
      </c>
    </row>
    <row r="127" spans="2:4">
      <c r="B127" s="17" t="s">
        <v>139</v>
      </c>
      <c r="C127" s="18" t="s">
        <v>123</v>
      </c>
      <c r="D127" s="16">
        <v>17</v>
      </c>
    </row>
    <row r="128" spans="2:4">
      <c r="B128" s="17" t="s">
        <v>139</v>
      </c>
      <c r="C128" s="18" t="s">
        <v>124</v>
      </c>
      <c r="D128" s="16">
        <v>45</v>
      </c>
    </row>
    <row r="129" spans="2:4">
      <c r="B129" s="17" t="s">
        <v>139</v>
      </c>
      <c r="C129" s="18" t="s">
        <v>125</v>
      </c>
      <c r="D129" s="16">
        <v>10</v>
      </c>
    </row>
    <row r="130" spans="2:4">
      <c r="B130" s="17" t="s">
        <v>139</v>
      </c>
      <c r="C130" s="18" t="s">
        <v>126</v>
      </c>
      <c r="D130" s="16">
        <v>63</v>
      </c>
    </row>
    <row r="131" spans="2:4">
      <c r="B131" s="17" t="s">
        <v>139</v>
      </c>
      <c r="C131" s="18" t="s">
        <v>127</v>
      </c>
      <c r="D131" s="16">
        <v>31</v>
      </c>
    </row>
    <row r="132" spans="2:4">
      <c r="B132" s="17" t="s">
        <v>139</v>
      </c>
      <c r="C132" s="18" t="s">
        <v>35</v>
      </c>
      <c r="D132" s="16">
        <v>97.6</v>
      </c>
    </row>
    <row r="133" spans="2:4">
      <c r="B133" s="17" t="s">
        <v>139</v>
      </c>
      <c r="C133" s="18" t="s">
        <v>36</v>
      </c>
      <c r="D133" s="16">
        <v>2</v>
      </c>
    </row>
    <row r="134" spans="2:4">
      <c r="B134" s="17" t="s">
        <v>139</v>
      </c>
      <c r="C134" s="18" t="s">
        <v>38</v>
      </c>
      <c r="D134" s="16">
        <v>5</v>
      </c>
    </row>
    <row r="135" spans="2:4">
      <c r="B135" s="17" t="s">
        <v>139</v>
      </c>
      <c r="C135" s="18" t="s">
        <v>40</v>
      </c>
      <c r="D135" s="19">
        <v>17.62</v>
      </c>
    </row>
    <row r="136" spans="2:4">
      <c r="B136" s="17" t="s">
        <v>140</v>
      </c>
      <c r="C136" s="18" t="s">
        <v>120</v>
      </c>
      <c r="D136" s="16">
        <v>74</v>
      </c>
    </row>
    <row r="137" spans="2:4">
      <c r="B137" s="17" t="s">
        <v>140</v>
      </c>
      <c r="C137" s="18" t="s">
        <v>121</v>
      </c>
      <c r="D137" s="16">
        <v>55</v>
      </c>
    </row>
    <row r="138" spans="2:4">
      <c r="B138" s="17" t="s">
        <v>140</v>
      </c>
      <c r="C138" s="18" t="s">
        <v>122</v>
      </c>
      <c r="D138" s="16">
        <v>31</v>
      </c>
    </row>
    <row r="139" spans="2:4">
      <c r="B139" s="17" t="s">
        <v>140</v>
      </c>
      <c r="C139" s="18" t="s">
        <v>123</v>
      </c>
      <c r="D139" s="16">
        <v>19</v>
      </c>
    </row>
    <row r="140" spans="2:4">
      <c r="B140" s="17" t="s">
        <v>140</v>
      </c>
      <c r="C140" s="18" t="s">
        <v>124</v>
      </c>
      <c r="D140" s="16">
        <v>42</v>
      </c>
    </row>
    <row r="141" spans="2:4">
      <c r="B141" s="17" t="s">
        <v>140</v>
      </c>
      <c r="C141" s="18" t="s">
        <v>125</v>
      </c>
      <c r="D141" s="16">
        <v>19</v>
      </c>
    </row>
    <row r="142" spans="2:4">
      <c r="B142" s="17" t="s">
        <v>140</v>
      </c>
      <c r="C142" s="18" t="s">
        <v>126</v>
      </c>
      <c r="D142" s="16">
        <v>59</v>
      </c>
    </row>
    <row r="143" spans="2:4">
      <c r="B143" s="17" t="s">
        <v>140</v>
      </c>
      <c r="C143" s="18" t="s">
        <v>127</v>
      </c>
      <c r="D143" s="16">
        <v>34</v>
      </c>
    </row>
    <row r="144" spans="2:4">
      <c r="B144" s="17" t="s">
        <v>140</v>
      </c>
      <c r="C144" s="18" t="s">
        <v>35</v>
      </c>
      <c r="D144" s="16">
        <v>103.23</v>
      </c>
    </row>
    <row r="145" spans="2:4">
      <c r="B145" s="17" t="s">
        <v>140</v>
      </c>
      <c r="C145" s="18" t="s">
        <v>36</v>
      </c>
      <c r="D145" s="16">
        <v>3</v>
      </c>
    </row>
    <row r="146" spans="2:4">
      <c r="B146" s="17" t="s">
        <v>140</v>
      </c>
      <c r="C146" s="18" t="s">
        <v>38</v>
      </c>
      <c r="D146" s="16">
        <v>5</v>
      </c>
    </row>
    <row r="147" spans="2:4">
      <c r="B147" s="17" t="s">
        <v>140</v>
      </c>
      <c r="C147" s="18" t="s">
        <v>40</v>
      </c>
      <c r="D147" s="19">
        <v>17.77</v>
      </c>
    </row>
    <row r="148" spans="2:4">
      <c r="B148" s="17" t="s">
        <v>141</v>
      </c>
      <c r="C148" s="18" t="s">
        <v>120</v>
      </c>
      <c r="D148" s="16">
        <v>56</v>
      </c>
    </row>
    <row r="149" spans="2:4">
      <c r="B149" s="17" t="s">
        <v>141</v>
      </c>
      <c r="C149" s="18" t="s">
        <v>121</v>
      </c>
      <c r="D149" s="16">
        <v>49</v>
      </c>
    </row>
    <row r="150" spans="2:4">
      <c r="B150" s="17" t="s">
        <v>141</v>
      </c>
      <c r="C150" s="18" t="s">
        <v>122</v>
      </c>
      <c r="D150" s="16">
        <v>38</v>
      </c>
    </row>
    <row r="151" spans="2:4">
      <c r="B151" s="17" t="s">
        <v>141</v>
      </c>
      <c r="C151" s="18" t="s">
        <v>123</v>
      </c>
      <c r="D151" s="16">
        <v>13</v>
      </c>
    </row>
    <row r="152" spans="2:4">
      <c r="B152" s="17" t="s">
        <v>141</v>
      </c>
      <c r="C152" s="18" t="s">
        <v>124</v>
      </c>
      <c r="D152" s="16">
        <v>49</v>
      </c>
    </row>
    <row r="153" spans="2:4">
      <c r="B153" s="17" t="s">
        <v>141</v>
      </c>
      <c r="C153" s="18" t="s">
        <v>125</v>
      </c>
      <c r="D153" s="16">
        <v>13</v>
      </c>
    </row>
    <row r="154" spans="2:4">
      <c r="B154" s="17" t="s">
        <v>141</v>
      </c>
      <c r="C154" s="18" t="s">
        <v>126</v>
      </c>
      <c r="D154" s="16">
        <v>67</v>
      </c>
    </row>
    <row r="155" spans="2:4">
      <c r="B155" s="17" t="s">
        <v>141</v>
      </c>
      <c r="C155" s="18" t="s">
        <v>127</v>
      </c>
      <c r="D155" s="16">
        <v>30</v>
      </c>
    </row>
    <row r="156" spans="2:4">
      <c r="B156" s="17" t="s">
        <v>141</v>
      </c>
      <c r="C156" s="18" t="s">
        <v>35</v>
      </c>
      <c r="D156" s="16">
        <v>107.1</v>
      </c>
    </row>
    <row r="157" spans="2:4">
      <c r="B157" s="17" t="s">
        <v>141</v>
      </c>
      <c r="C157" s="18" t="s">
        <v>36</v>
      </c>
      <c r="D157" s="16">
        <v>4</v>
      </c>
    </row>
    <row r="158" spans="2:4">
      <c r="B158" s="17" t="s">
        <v>141</v>
      </c>
      <c r="C158" s="18" t="s">
        <v>38</v>
      </c>
      <c r="D158" s="16">
        <v>6</v>
      </c>
    </row>
    <row r="159" spans="2:4">
      <c r="B159" s="17" t="s">
        <v>141</v>
      </c>
      <c r="C159" s="18" t="s">
        <v>40</v>
      </c>
      <c r="D159" s="19">
        <v>18.25</v>
      </c>
    </row>
    <row r="160" spans="2:4">
      <c r="B160" s="17" t="s">
        <v>142</v>
      </c>
      <c r="C160" s="18" t="s">
        <v>120</v>
      </c>
      <c r="D160" s="16">
        <v>73</v>
      </c>
    </row>
    <row r="161" spans="2:4">
      <c r="B161" s="17" t="s">
        <v>142</v>
      </c>
      <c r="C161" s="18" t="s">
        <v>121</v>
      </c>
      <c r="D161" s="16">
        <v>60</v>
      </c>
    </row>
    <row r="162" spans="2:4">
      <c r="B162" s="17" t="s">
        <v>142</v>
      </c>
      <c r="C162" s="18" t="s">
        <v>122</v>
      </c>
      <c r="D162" s="16">
        <v>40</v>
      </c>
    </row>
    <row r="163" spans="2:4">
      <c r="B163" s="17" t="s">
        <v>142</v>
      </c>
      <c r="C163" s="18" t="s">
        <v>123</v>
      </c>
      <c r="D163" s="16">
        <v>15</v>
      </c>
    </row>
    <row r="164" spans="2:4">
      <c r="B164" s="17" t="s">
        <v>142</v>
      </c>
      <c r="C164" s="18" t="s">
        <v>124</v>
      </c>
      <c r="D164" s="16">
        <v>41</v>
      </c>
    </row>
    <row r="165" spans="2:4">
      <c r="B165" s="17" t="s">
        <v>142</v>
      </c>
      <c r="C165" s="18" t="s">
        <v>125</v>
      </c>
      <c r="D165" s="16">
        <v>12</v>
      </c>
    </row>
    <row r="166" spans="2:4">
      <c r="B166" s="17" t="s">
        <v>142</v>
      </c>
      <c r="C166" s="18" t="s">
        <v>126</v>
      </c>
      <c r="D166" s="16">
        <v>59</v>
      </c>
    </row>
    <row r="167" spans="2:4">
      <c r="B167" s="17" t="s">
        <v>142</v>
      </c>
      <c r="C167" s="18" t="s">
        <v>127</v>
      </c>
      <c r="D167" s="16">
        <v>35</v>
      </c>
    </row>
    <row r="168" spans="2:4">
      <c r="B168" s="17" t="s">
        <v>142</v>
      </c>
      <c r="C168" s="18" t="s">
        <v>35</v>
      </c>
      <c r="D168" s="16">
        <v>107.2</v>
      </c>
    </row>
    <row r="169" spans="2:4">
      <c r="B169" s="17" t="s">
        <v>142</v>
      </c>
      <c r="C169" s="18" t="s">
        <v>36</v>
      </c>
      <c r="D169" s="16">
        <v>3</v>
      </c>
    </row>
    <row r="170" spans="2:4">
      <c r="B170" s="17" t="s">
        <v>142</v>
      </c>
      <c r="C170" s="18" t="s">
        <v>38</v>
      </c>
      <c r="D170" s="16">
        <v>5</v>
      </c>
    </row>
    <row r="171" spans="2:4">
      <c r="B171" s="17" t="s">
        <v>142</v>
      </c>
      <c r="C171" s="18" t="s">
        <v>40</v>
      </c>
      <c r="D171" s="19">
        <v>18.23</v>
      </c>
    </row>
    <row r="172" spans="2:4">
      <c r="B172" s="17" t="s">
        <v>143</v>
      </c>
      <c r="C172" s="18" t="s">
        <v>120</v>
      </c>
      <c r="D172" s="16">
        <v>55</v>
      </c>
    </row>
    <row r="173" spans="2:4">
      <c r="B173" s="17" t="s">
        <v>143</v>
      </c>
      <c r="C173" s="18" t="s">
        <v>121</v>
      </c>
      <c r="D173" s="16">
        <v>49</v>
      </c>
    </row>
    <row r="174" spans="2:4">
      <c r="B174" s="17" t="s">
        <v>143</v>
      </c>
      <c r="C174" s="18" t="s">
        <v>122</v>
      </c>
      <c r="D174" s="16">
        <v>37</v>
      </c>
    </row>
    <row r="175" spans="2:4">
      <c r="B175" s="17" t="s">
        <v>143</v>
      </c>
      <c r="C175" s="18" t="s">
        <v>123</v>
      </c>
      <c r="D175" s="16">
        <v>20</v>
      </c>
    </row>
    <row r="176" spans="2:4">
      <c r="B176" s="17" t="s">
        <v>143</v>
      </c>
      <c r="C176" s="18" t="s">
        <v>124</v>
      </c>
      <c r="D176" s="16">
        <v>46</v>
      </c>
    </row>
    <row r="177" spans="2:4">
      <c r="B177" s="17" t="s">
        <v>143</v>
      </c>
      <c r="C177" s="18" t="s">
        <v>125</v>
      </c>
      <c r="D177" s="16">
        <v>18</v>
      </c>
    </row>
    <row r="178" spans="2:4">
      <c r="B178" s="17" t="s">
        <v>143</v>
      </c>
      <c r="C178" s="18" t="s">
        <v>126</v>
      </c>
      <c r="D178" s="16">
        <v>56</v>
      </c>
    </row>
    <row r="179" spans="2:4">
      <c r="B179" s="17" t="s">
        <v>143</v>
      </c>
      <c r="C179" s="18" t="s">
        <v>127</v>
      </c>
      <c r="D179" s="16">
        <v>35</v>
      </c>
    </row>
    <row r="180" spans="2:4">
      <c r="B180" s="17" t="s">
        <v>143</v>
      </c>
      <c r="C180" s="18" t="s">
        <v>35</v>
      </c>
      <c r="D180" s="16">
        <v>104.28</v>
      </c>
    </row>
    <row r="181" spans="2:4">
      <c r="B181" s="17" t="s">
        <v>143</v>
      </c>
      <c r="C181" s="18" t="s">
        <v>36</v>
      </c>
      <c r="D181" s="16">
        <v>4</v>
      </c>
    </row>
    <row r="182" spans="2:4">
      <c r="B182" s="17" t="s">
        <v>143</v>
      </c>
      <c r="C182" s="18" t="s">
        <v>38</v>
      </c>
      <c r="D182" s="16">
        <v>6</v>
      </c>
    </row>
    <row r="183" spans="2:4">
      <c r="B183" s="17" t="s">
        <v>143</v>
      </c>
      <c r="C183" s="18" t="s">
        <v>40</v>
      </c>
      <c r="D183" s="19">
        <v>16.73</v>
      </c>
    </row>
    <row r="184" spans="2:4">
      <c r="B184" s="17" t="s">
        <v>144</v>
      </c>
      <c r="C184" s="18" t="s">
        <v>120</v>
      </c>
      <c r="D184" s="16">
        <v>56</v>
      </c>
    </row>
    <row r="185" spans="2:4">
      <c r="B185" s="17" t="s">
        <v>144</v>
      </c>
      <c r="C185" s="18" t="s">
        <v>121</v>
      </c>
      <c r="D185" s="16">
        <v>47</v>
      </c>
    </row>
    <row r="186" spans="2:4">
      <c r="B186" s="17" t="s">
        <v>144</v>
      </c>
      <c r="C186" s="18" t="s">
        <v>122</v>
      </c>
      <c r="D186" s="16">
        <v>38</v>
      </c>
    </row>
    <row r="187" spans="2:4">
      <c r="B187" s="17" t="s">
        <v>144</v>
      </c>
      <c r="C187" s="18" t="s">
        <v>123</v>
      </c>
      <c r="D187" s="16">
        <v>13</v>
      </c>
    </row>
    <row r="188" spans="2:4">
      <c r="B188" s="17" t="s">
        <v>144</v>
      </c>
      <c r="C188" s="18" t="s">
        <v>124</v>
      </c>
      <c r="D188" s="16">
        <v>41</v>
      </c>
    </row>
    <row r="189" spans="2:4">
      <c r="B189" s="17" t="s">
        <v>144</v>
      </c>
      <c r="C189" s="18" t="s">
        <v>125</v>
      </c>
      <c r="D189" s="16">
        <v>18</v>
      </c>
    </row>
    <row r="190" spans="2:4">
      <c r="B190" s="17" t="s">
        <v>144</v>
      </c>
      <c r="C190" s="18" t="s">
        <v>126</v>
      </c>
      <c r="D190" s="16">
        <v>57</v>
      </c>
    </row>
    <row r="191" spans="2:4">
      <c r="B191" s="17" t="s">
        <v>144</v>
      </c>
      <c r="C191" s="18" t="s">
        <v>127</v>
      </c>
      <c r="D191" s="16">
        <v>32</v>
      </c>
    </row>
    <row r="192" spans="2:4">
      <c r="B192" s="17" t="s">
        <v>144</v>
      </c>
      <c r="C192" s="18" t="s">
        <v>35</v>
      </c>
      <c r="D192" s="16">
        <v>105.7</v>
      </c>
    </row>
    <row r="193" spans="2:4">
      <c r="B193" s="17" t="s">
        <v>144</v>
      </c>
      <c r="C193" s="18" t="s">
        <v>36</v>
      </c>
      <c r="D193" s="16">
        <v>3</v>
      </c>
    </row>
    <row r="194" spans="2:4">
      <c r="B194" s="17" t="s">
        <v>144</v>
      </c>
      <c r="C194" s="18" t="s">
        <v>38</v>
      </c>
      <c r="D194" s="16">
        <v>5</v>
      </c>
    </row>
    <row r="195" spans="2:4">
      <c r="B195" s="17" t="s">
        <v>144</v>
      </c>
      <c r="C195" s="18" t="s">
        <v>40</v>
      </c>
      <c r="D195" s="19">
        <v>16.53</v>
      </c>
    </row>
    <row r="196" spans="2:4">
      <c r="B196" s="17" t="s">
        <v>145</v>
      </c>
      <c r="C196" s="18" t="s">
        <v>120</v>
      </c>
      <c r="D196" s="16">
        <v>62</v>
      </c>
    </row>
    <row r="197" spans="2:4">
      <c r="B197" s="17" t="s">
        <v>145</v>
      </c>
      <c r="C197" s="18" t="s">
        <v>121</v>
      </c>
      <c r="D197" s="16">
        <v>46</v>
      </c>
    </row>
    <row r="198" spans="2:4">
      <c r="B198" s="17" t="s">
        <v>145</v>
      </c>
      <c r="C198" s="18" t="s">
        <v>122</v>
      </c>
      <c r="D198" s="16">
        <v>37</v>
      </c>
    </row>
    <row r="199" spans="2:4">
      <c r="B199" s="17" t="s">
        <v>145</v>
      </c>
      <c r="C199" s="18" t="s">
        <v>123</v>
      </c>
      <c r="D199" s="16">
        <v>18</v>
      </c>
    </row>
    <row r="200" spans="2:4">
      <c r="B200" s="17" t="s">
        <v>145</v>
      </c>
      <c r="C200" s="18" t="s">
        <v>124</v>
      </c>
      <c r="D200" s="16">
        <v>35</v>
      </c>
    </row>
    <row r="201" spans="2:4">
      <c r="B201" s="17" t="s">
        <v>145</v>
      </c>
      <c r="C201" s="18" t="s">
        <v>125</v>
      </c>
      <c r="D201" s="16">
        <v>17</v>
      </c>
    </row>
    <row r="202" spans="2:4">
      <c r="B202" s="17" t="s">
        <v>145</v>
      </c>
      <c r="C202" s="18" t="s">
        <v>126</v>
      </c>
      <c r="D202" s="16">
        <v>57</v>
      </c>
    </row>
    <row r="203" spans="2:4">
      <c r="B203" s="17" t="s">
        <v>145</v>
      </c>
      <c r="C203" s="18" t="s">
        <v>127</v>
      </c>
      <c r="D203" s="16">
        <v>32</v>
      </c>
    </row>
    <row r="204" spans="2:4">
      <c r="B204" s="17" t="s">
        <v>145</v>
      </c>
      <c r="C204" s="18" t="s">
        <v>35</v>
      </c>
      <c r="D204" s="16">
        <v>109.44</v>
      </c>
    </row>
    <row r="205" spans="2:4">
      <c r="B205" s="17" t="s">
        <v>145</v>
      </c>
      <c r="C205" s="18" t="s">
        <v>36</v>
      </c>
      <c r="D205" s="16">
        <v>3</v>
      </c>
    </row>
    <row r="206" spans="2:4">
      <c r="B206" s="17" t="s">
        <v>145</v>
      </c>
      <c r="C206" s="18" t="s">
        <v>38</v>
      </c>
      <c r="D206" s="16">
        <v>5</v>
      </c>
    </row>
    <row r="207" spans="2:4">
      <c r="B207" s="17" t="s">
        <v>145</v>
      </c>
      <c r="C207" s="18" t="s">
        <v>40</v>
      </c>
      <c r="D207" s="19">
        <v>16.4</v>
      </c>
    </row>
    <row r="208" spans="2:4">
      <c r="B208" s="17" t="s">
        <v>146</v>
      </c>
      <c r="C208" s="18" t="s">
        <v>120</v>
      </c>
      <c r="D208" s="16">
        <v>70</v>
      </c>
    </row>
    <row r="209" spans="2:4">
      <c r="B209" s="17" t="s">
        <v>146</v>
      </c>
      <c r="C209" s="18" t="s">
        <v>121</v>
      </c>
      <c r="D209" s="16">
        <v>56</v>
      </c>
    </row>
    <row r="210" spans="2:4">
      <c r="B210" s="17" t="s">
        <v>146</v>
      </c>
      <c r="C210" s="18" t="s">
        <v>122</v>
      </c>
      <c r="D210" s="16">
        <v>33</v>
      </c>
    </row>
    <row r="211" spans="2:4">
      <c r="B211" s="17" t="s">
        <v>146</v>
      </c>
      <c r="C211" s="18" t="s">
        <v>123</v>
      </c>
      <c r="D211" s="16">
        <v>16</v>
      </c>
    </row>
    <row r="212" spans="2:4">
      <c r="B212" s="17" t="s">
        <v>146</v>
      </c>
      <c r="C212" s="18" t="s">
        <v>124</v>
      </c>
      <c r="D212" s="16">
        <v>49</v>
      </c>
    </row>
    <row r="213" spans="2:4">
      <c r="B213" s="17" t="s">
        <v>146</v>
      </c>
      <c r="C213" s="18" t="s">
        <v>125</v>
      </c>
      <c r="D213" s="16">
        <v>17</v>
      </c>
    </row>
    <row r="214" spans="2:4">
      <c r="B214" s="17" t="s">
        <v>146</v>
      </c>
      <c r="C214" s="18" t="s">
        <v>126</v>
      </c>
      <c r="D214" s="16">
        <v>64</v>
      </c>
    </row>
    <row r="215" spans="2:4">
      <c r="B215" s="17" t="s">
        <v>146</v>
      </c>
      <c r="C215" s="18" t="s">
        <v>127</v>
      </c>
      <c r="D215" s="16">
        <v>33</v>
      </c>
    </row>
    <row r="216" spans="2:4">
      <c r="B216" s="17" t="s">
        <v>146</v>
      </c>
      <c r="C216" s="18" t="s">
        <v>35</v>
      </c>
      <c r="D216" s="16">
        <v>104.78</v>
      </c>
    </row>
    <row r="217" spans="2:4">
      <c r="B217" s="17" t="s">
        <v>146</v>
      </c>
      <c r="C217" s="18" t="s">
        <v>36</v>
      </c>
      <c r="D217" s="16">
        <v>4</v>
      </c>
    </row>
    <row r="218" spans="2:4">
      <c r="B218" s="17" t="s">
        <v>146</v>
      </c>
      <c r="C218" s="18" t="s">
        <v>38</v>
      </c>
      <c r="D218" s="16">
        <v>6</v>
      </c>
    </row>
    <row r="219" spans="2:4">
      <c r="B219" s="17" t="s">
        <v>146</v>
      </c>
      <c r="C219" s="18" t="s">
        <v>40</v>
      </c>
      <c r="D219" s="19">
        <v>18.72</v>
      </c>
    </row>
    <row r="220" spans="2:4">
      <c r="B220" s="17" t="s">
        <v>147</v>
      </c>
      <c r="C220" s="18" t="s">
        <v>120</v>
      </c>
      <c r="D220" s="16">
        <v>68</v>
      </c>
    </row>
    <row r="221" spans="2:4">
      <c r="B221" s="17" t="s">
        <v>147</v>
      </c>
      <c r="C221" s="18" t="s">
        <v>121</v>
      </c>
      <c r="D221" s="16">
        <v>52</v>
      </c>
    </row>
    <row r="222" spans="2:4">
      <c r="B222" s="17" t="s">
        <v>147</v>
      </c>
      <c r="C222" s="18" t="s">
        <v>122</v>
      </c>
      <c r="D222" s="16">
        <v>33</v>
      </c>
    </row>
    <row r="223" spans="2:4">
      <c r="B223" s="17" t="s">
        <v>147</v>
      </c>
      <c r="C223" s="18" t="s">
        <v>123</v>
      </c>
      <c r="D223" s="16">
        <v>16</v>
      </c>
    </row>
    <row r="224" spans="2:4">
      <c r="B224" s="17" t="s">
        <v>147</v>
      </c>
      <c r="C224" s="18" t="s">
        <v>124</v>
      </c>
      <c r="D224" s="16">
        <v>40</v>
      </c>
    </row>
    <row r="225" spans="2:4">
      <c r="B225" s="17" t="s">
        <v>147</v>
      </c>
      <c r="C225" s="18" t="s">
        <v>125</v>
      </c>
      <c r="D225" s="16">
        <v>15</v>
      </c>
    </row>
    <row r="226" spans="2:4">
      <c r="B226" s="17" t="s">
        <v>147</v>
      </c>
      <c r="C226" s="18" t="s">
        <v>126</v>
      </c>
      <c r="D226" s="16">
        <v>55</v>
      </c>
    </row>
    <row r="227" spans="2:4">
      <c r="B227" s="17" t="s">
        <v>147</v>
      </c>
      <c r="C227" s="18" t="s">
        <v>127</v>
      </c>
      <c r="D227" s="16">
        <v>31</v>
      </c>
    </row>
    <row r="228" spans="2:4">
      <c r="B228" s="17" t="s">
        <v>147</v>
      </c>
      <c r="C228" s="18" t="s">
        <v>35</v>
      </c>
      <c r="D228" s="16">
        <v>99.2</v>
      </c>
    </row>
    <row r="229" spans="2:4">
      <c r="B229" s="17" t="s">
        <v>147</v>
      </c>
      <c r="C229" s="18" t="s">
        <v>36</v>
      </c>
      <c r="D229" s="16">
        <v>4</v>
      </c>
    </row>
    <row r="230" spans="2:4">
      <c r="B230" s="17" t="s">
        <v>147</v>
      </c>
      <c r="C230" s="18" t="s">
        <v>38</v>
      </c>
      <c r="D230" s="16">
        <v>5</v>
      </c>
    </row>
    <row r="231" spans="2:4">
      <c r="B231" s="17" t="s">
        <v>147</v>
      </c>
      <c r="C231" s="18" t="s">
        <v>40</v>
      </c>
      <c r="D231" s="19">
        <v>16.85</v>
      </c>
    </row>
    <row r="232" spans="2:4">
      <c r="B232" s="17" t="s">
        <v>148</v>
      </c>
      <c r="C232" s="18" t="s">
        <v>120</v>
      </c>
      <c r="D232" s="16">
        <v>69</v>
      </c>
    </row>
    <row r="233" spans="2:4">
      <c r="B233" s="17" t="s">
        <v>148</v>
      </c>
      <c r="C233" s="18" t="s">
        <v>121</v>
      </c>
      <c r="D233" s="16">
        <v>48</v>
      </c>
    </row>
    <row r="234" spans="2:4">
      <c r="B234" s="17" t="s">
        <v>148</v>
      </c>
      <c r="C234" s="18" t="s">
        <v>122</v>
      </c>
      <c r="D234" s="16">
        <v>39</v>
      </c>
    </row>
    <row r="235" spans="2:4">
      <c r="B235" s="17" t="s">
        <v>148</v>
      </c>
      <c r="C235" s="18" t="s">
        <v>123</v>
      </c>
      <c r="D235" s="16">
        <v>20</v>
      </c>
    </row>
    <row r="236" spans="2:4">
      <c r="B236" s="17" t="s">
        <v>148</v>
      </c>
      <c r="C236" s="18" t="s">
        <v>124</v>
      </c>
      <c r="D236" s="16">
        <v>50</v>
      </c>
    </row>
    <row r="237" spans="2:4">
      <c r="B237" s="17" t="s">
        <v>148</v>
      </c>
      <c r="C237" s="18" t="s">
        <v>125</v>
      </c>
      <c r="D237" s="16">
        <v>15</v>
      </c>
    </row>
    <row r="238" spans="2:4">
      <c r="B238" s="17" t="s">
        <v>148</v>
      </c>
      <c r="C238" s="18" t="s">
        <v>126</v>
      </c>
      <c r="D238" s="16">
        <v>64</v>
      </c>
    </row>
    <row r="239" spans="2:4">
      <c r="B239" s="17" t="s">
        <v>148</v>
      </c>
      <c r="C239" s="18" t="s">
        <v>127</v>
      </c>
      <c r="D239" s="16">
        <v>32</v>
      </c>
    </row>
    <row r="240" spans="2:4">
      <c r="B240" s="17" t="s">
        <v>148</v>
      </c>
      <c r="C240" s="18" t="s">
        <v>35</v>
      </c>
      <c r="D240" s="16">
        <v>104.47</v>
      </c>
    </row>
    <row r="241" spans="2:4">
      <c r="B241" s="17" t="s">
        <v>148</v>
      </c>
      <c r="C241" s="18" t="s">
        <v>36</v>
      </c>
      <c r="D241" s="16">
        <v>4</v>
      </c>
    </row>
    <row r="242" spans="2:4">
      <c r="B242" s="17" t="s">
        <v>148</v>
      </c>
      <c r="C242" s="18" t="s">
        <v>38</v>
      </c>
      <c r="D242" s="16">
        <v>5</v>
      </c>
    </row>
    <row r="243" spans="2:4">
      <c r="B243" s="17" t="s">
        <v>148</v>
      </c>
      <c r="C243" s="18" t="s">
        <v>40</v>
      </c>
      <c r="D243" s="19">
        <v>19.15</v>
      </c>
    </row>
    <row r="244" spans="2:4">
      <c r="B244" s="17" t="s">
        <v>149</v>
      </c>
      <c r="C244" s="18" t="s">
        <v>120</v>
      </c>
      <c r="D244" s="16">
        <v>57</v>
      </c>
    </row>
    <row r="245" spans="2:4">
      <c r="B245" s="17" t="s">
        <v>149</v>
      </c>
      <c r="C245" s="18" t="s">
        <v>121</v>
      </c>
      <c r="D245" s="16">
        <v>53</v>
      </c>
    </row>
    <row r="246" spans="2:4">
      <c r="B246" s="17" t="s">
        <v>149</v>
      </c>
      <c r="C246" s="18" t="s">
        <v>122</v>
      </c>
      <c r="D246" s="16">
        <v>28</v>
      </c>
    </row>
    <row r="247" spans="2:4">
      <c r="B247" s="17" t="s">
        <v>149</v>
      </c>
      <c r="C247" s="18" t="s">
        <v>123</v>
      </c>
      <c r="D247" s="16">
        <v>17</v>
      </c>
    </row>
    <row r="248" spans="2:4">
      <c r="B248" s="17" t="s">
        <v>149</v>
      </c>
      <c r="C248" s="18" t="s">
        <v>124</v>
      </c>
      <c r="D248" s="16">
        <v>42</v>
      </c>
    </row>
    <row r="249" spans="2:4">
      <c r="B249" s="17" t="s">
        <v>149</v>
      </c>
      <c r="C249" s="18" t="s">
        <v>125</v>
      </c>
      <c r="D249" s="16">
        <v>14</v>
      </c>
    </row>
    <row r="250" spans="2:4">
      <c r="B250" s="17" t="s">
        <v>149</v>
      </c>
      <c r="C250" s="18" t="s">
        <v>126</v>
      </c>
      <c r="D250" s="16">
        <v>57</v>
      </c>
    </row>
    <row r="251" spans="2:4">
      <c r="B251" s="17" t="s">
        <v>149</v>
      </c>
      <c r="C251" s="18" t="s">
        <v>127</v>
      </c>
      <c r="D251" s="16">
        <v>32</v>
      </c>
    </row>
    <row r="252" spans="2:4">
      <c r="B252" s="17" t="s">
        <v>149</v>
      </c>
      <c r="C252" s="18" t="s">
        <v>35</v>
      </c>
      <c r="D252" s="16">
        <v>96</v>
      </c>
    </row>
    <row r="253" spans="2:4">
      <c r="B253" s="17" t="s">
        <v>149</v>
      </c>
      <c r="C253" s="18" t="s">
        <v>36</v>
      </c>
      <c r="D253" s="16">
        <v>4</v>
      </c>
    </row>
    <row r="254" spans="2:4">
      <c r="B254" s="17" t="s">
        <v>149</v>
      </c>
      <c r="C254" s="18" t="s">
        <v>38</v>
      </c>
      <c r="D254" s="16">
        <v>5</v>
      </c>
    </row>
    <row r="255" spans="2:4">
      <c r="B255" s="17" t="s">
        <v>149</v>
      </c>
      <c r="C255" s="18" t="s">
        <v>40</v>
      </c>
      <c r="D255" s="19">
        <v>16</v>
      </c>
    </row>
    <row r="256" spans="2:4">
      <c r="B256" s="17" t="s">
        <v>150</v>
      </c>
      <c r="C256" s="18" t="s">
        <v>120</v>
      </c>
      <c r="D256" s="16">
        <v>72</v>
      </c>
    </row>
    <row r="257" spans="2:4">
      <c r="B257" s="17" t="s">
        <v>150</v>
      </c>
      <c r="C257" s="18" t="s">
        <v>121</v>
      </c>
      <c r="D257" s="16">
        <v>58</v>
      </c>
    </row>
    <row r="258" spans="2:4">
      <c r="B258" s="17" t="s">
        <v>150</v>
      </c>
      <c r="C258" s="18" t="s">
        <v>122</v>
      </c>
      <c r="D258" s="16">
        <v>39</v>
      </c>
    </row>
    <row r="259" spans="2:4">
      <c r="B259" s="17" t="s">
        <v>150</v>
      </c>
      <c r="C259" s="18" t="s">
        <v>123</v>
      </c>
      <c r="D259" s="16">
        <v>13</v>
      </c>
    </row>
    <row r="260" spans="2:4">
      <c r="B260" s="17" t="s">
        <v>150</v>
      </c>
      <c r="C260" s="18" t="s">
        <v>124</v>
      </c>
      <c r="D260" s="16">
        <v>39</v>
      </c>
    </row>
    <row r="261" spans="2:4">
      <c r="B261" s="17" t="s">
        <v>150</v>
      </c>
      <c r="C261" s="18" t="s">
        <v>125</v>
      </c>
      <c r="D261" s="16">
        <v>14</v>
      </c>
    </row>
    <row r="262" spans="2:4">
      <c r="B262" s="17" t="s">
        <v>150</v>
      </c>
      <c r="C262" s="18" t="s">
        <v>126</v>
      </c>
      <c r="D262" s="16">
        <v>56</v>
      </c>
    </row>
    <row r="263" spans="2:4">
      <c r="B263" s="17" t="s">
        <v>150</v>
      </c>
      <c r="C263" s="18" t="s">
        <v>127</v>
      </c>
      <c r="D263" s="16">
        <v>32</v>
      </c>
    </row>
    <row r="264" spans="2:4">
      <c r="B264" s="17" t="s">
        <v>150</v>
      </c>
      <c r="C264" s="18" t="s">
        <v>35</v>
      </c>
      <c r="D264" s="16">
        <v>106.59</v>
      </c>
    </row>
    <row r="265" spans="2:4">
      <c r="B265" s="17" t="s">
        <v>150</v>
      </c>
      <c r="C265" s="18" t="s">
        <v>36</v>
      </c>
      <c r="D265" s="16">
        <v>4</v>
      </c>
    </row>
    <row r="266" spans="2:4">
      <c r="B266" s="17" t="s">
        <v>150</v>
      </c>
      <c r="C266" s="18" t="s">
        <v>38</v>
      </c>
      <c r="D266" s="16">
        <v>6</v>
      </c>
    </row>
    <row r="267" spans="2:4">
      <c r="B267" s="17" t="s">
        <v>150</v>
      </c>
      <c r="C267" s="18" t="s">
        <v>40</v>
      </c>
      <c r="D267" s="19">
        <v>17.6</v>
      </c>
    </row>
    <row r="268" spans="2:4">
      <c r="B268" s="17" t="s">
        <v>151</v>
      </c>
      <c r="C268" s="18" t="s">
        <v>120</v>
      </c>
      <c r="D268" s="16">
        <v>64</v>
      </c>
    </row>
    <row r="269" spans="2:4">
      <c r="B269" s="17" t="s">
        <v>151</v>
      </c>
      <c r="C269" s="18" t="s">
        <v>121</v>
      </c>
      <c r="D269" s="16">
        <v>55</v>
      </c>
    </row>
    <row r="270" spans="2:4">
      <c r="B270" s="17" t="s">
        <v>151</v>
      </c>
      <c r="C270" s="18" t="s">
        <v>122</v>
      </c>
      <c r="D270" s="16">
        <v>28</v>
      </c>
    </row>
    <row r="271" spans="2:4">
      <c r="B271" s="17" t="s">
        <v>151</v>
      </c>
      <c r="C271" s="18" t="s">
        <v>123</v>
      </c>
      <c r="D271" s="16">
        <v>16</v>
      </c>
    </row>
    <row r="272" spans="2:4">
      <c r="B272" s="17" t="s">
        <v>151</v>
      </c>
      <c r="C272" s="18" t="s">
        <v>124</v>
      </c>
      <c r="D272" s="16">
        <v>40</v>
      </c>
    </row>
    <row r="273" spans="2:4">
      <c r="B273" s="17" t="s">
        <v>151</v>
      </c>
      <c r="C273" s="18" t="s">
        <v>125</v>
      </c>
      <c r="D273" s="16">
        <v>11</v>
      </c>
    </row>
    <row r="274" spans="2:4">
      <c r="B274" s="17" t="s">
        <v>151</v>
      </c>
      <c r="C274" s="18" t="s">
        <v>126</v>
      </c>
      <c r="D274" s="16">
        <v>63</v>
      </c>
    </row>
    <row r="275" spans="2:4">
      <c r="B275" s="17" t="s">
        <v>151</v>
      </c>
      <c r="C275" s="18" t="s">
        <v>127</v>
      </c>
      <c r="D275" s="16">
        <v>34</v>
      </c>
    </row>
    <row r="276" spans="2:4">
      <c r="B276" s="17" t="s">
        <v>151</v>
      </c>
      <c r="C276" s="18" t="s">
        <v>35</v>
      </c>
      <c r="D276" s="16">
        <v>99.52</v>
      </c>
    </row>
    <row r="277" spans="2:4">
      <c r="B277" s="17" t="s">
        <v>151</v>
      </c>
      <c r="C277" s="18" t="s">
        <v>36</v>
      </c>
      <c r="D277" s="16">
        <v>4</v>
      </c>
    </row>
    <row r="278" spans="2:4">
      <c r="B278" s="17" t="s">
        <v>151</v>
      </c>
      <c r="C278" s="18" t="s">
        <v>38</v>
      </c>
      <c r="D278" s="16">
        <v>5</v>
      </c>
    </row>
    <row r="279" spans="2:4">
      <c r="B279" s="17" t="s">
        <v>151</v>
      </c>
      <c r="C279" s="18" t="s">
        <v>40</v>
      </c>
      <c r="D279" s="19">
        <v>16.98</v>
      </c>
    </row>
    <row r="280" spans="2:4">
      <c r="B280" s="17" t="s">
        <v>152</v>
      </c>
      <c r="C280" s="18" t="s">
        <v>120</v>
      </c>
      <c r="D280" s="16">
        <v>69</v>
      </c>
    </row>
    <row r="281" spans="2:4">
      <c r="B281" s="17" t="s">
        <v>152</v>
      </c>
      <c r="C281" s="18" t="s">
        <v>121</v>
      </c>
      <c r="D281" s="16">
        <v>48</v>
      </c>
    </row>
    <row r="282" spans="2:4">
      <c r="B282" s="17" t="s">
        <v>152</v>
      </c>
      <c r="C282" s="18" t="s">
        <v>122</v>
      </c>
      <c r="D282" s="16">
        <v>36</v>
      </c>
    </row>
    <row r="283" spans="2:4">
      <c r="B283" s="17" t="s">
        <v>152</v>
      </c>
      <c r="C283" s="18" t="s">
        <v>123</v>
      </c>
      <c r="D283" s="16">
        <v>19</v>
      </c>
    </row>
    <row r="284" spans="2:4">
      <c r="B284" s="17" t="s">
        <v>152</v>
      </c>
      <c r="C284" s="18" t="s">
        <v>124</v>
      </c>
      <c r="D284" s="16">
        <v>50</v>
      </c>
    </row>
    <row r="285" spans="2:4">
      <c r="B285" s="17" t="s">
        <v>152</v>
      </c>
      <c r="C285" s="18" t="s">
        <v>125</v>
      </c>
      <c r="D285" s="16">
        <v>13</v>
      </c>
    </row>
    <row r="286" spans="2:4">
      <c r="B286" s="17" t="s">
        <v>152</v>
      </c>
      <c r="C286" s="18" t="s">
        <v>126</v>
      </c>
      <c r="D286" s="16">
        <v>60</v>
      </c>
    </row>
    <row r="287" spans="2:4">
      <c r="B287" s="17" t="s">
        <v>152</v>
      </c>
      <c r="C287" s="18" t="s">
        <v>127</v>
      </c>
      <c r="D287" s="16">
        <v>31</v>
      </c>
    </row>
    <row r="288" spans="2:4">
      <c r="B288" s="17" t="s">
        <v>152</v>
      </c>
      <c r="C288" s="18" t="s">
        <v>35</v>
      </c>
      <c r="D288" s="16">
        <v>101.06</v>
      </c>
    </row>
    <row r="289" spans="2:4">
      <c r="B289" s="17" t="s">
        <v>152</v>
      </c>
      <c r="C289" s="18" t="s">
        <v>36</v>
      </c>
      <c r="D289" s="16">
        <v>3</v>
      </c>
    </row>
    <row r="290" spans="2:4">
      <c r="B290" s="17" t="s">
        <v>152</v>
      </c>
      <c r="C290" s="18" t="s">
        <v>38</v>
      </c>
      <c r="D290" s="16">
        <v>6</v>
      </c>
    </row>
    <row r="291" spans="2:4">
      <c r="B291" s="17" t="s">
        <v>152</v>
      </c>
      <c r="C291" s="18" t="s">
        <v>40</v>
      </c>
      <c r="D291" s="19">
        <v>18.54</v>
      </c>
    </row>
    <row r="292" spans="2:4">
      <c r="B292" s="17" t="s">
        <v>153</v>
      </c>
      <c r="C292" s="18" t="s">
        <v>120</v>
      </c>
      <c r="D292" s="16">
        <v>57</v>
      </c>
    </row>
    <row r="293" spans="2:4">
      <c r="B293" s="17" t="s">
        <v>153</v>
      </c>
      <c r="C293" s="18" t="s">
        <v>121</v>
      </c>
      <c r="D293" s="16">
        <v>47</v>
      </c>
    </row>
    <row r="294" spans="2:4">
      <c r="B294" s="17" t="s">
        <v>153</v>
      </c>
      <c r="C294" s="18" t="s">
        <v>122</v>
      </c>
      <c r="D294" s="16">
        <v>35</v>
      </c>
    </row>
    <row r="295" spans="2:4">
      <c r="B295" s="17" t="s">
        <v>153</v>
      </c>
      <c r="C295" s="18" t="s">
        <v>123</v>
      </c>
      <c r="D295" s="16">
        <v>17</v>
      </c>
    </row>
    <row r="296" spans="2:4">
      <c r="B296" s="17" t="s">
        <v>153</v>
      </c>
      <c r="C296" s="18" t="s">
        <v>124</v>
      </c>
      <c r="D296" s="16">
        <v>41</v>
      </c>
    </row>
    <row r="297" spans="2:4">
      <c r="B297" s="17" t="s">
        <v>153</v>
      </c>
      <c r="C297" s="18" t="s">
        <v>125</v>
      </c>
      <c r="D297" s="16">
        <v>11</v>
      </c>
    </row>
    <row r="298" spans="2:4">
      <c r="B298" s="17" t="s">
        <v>153</v>
      </c>
      <c r="C298" s="18" t="s">
        <v>126</v>
      </c>
      <c r="D298" s="16">
        <v>61</v>
      </c>
    </row>
    <row r="299" spans="2:4">
      <c r="B299" s="17" t="s">
        <v>153</v>
      </c>
      <c r="C299" s="18" t="s">
        <v>127</v>
      </c>
      <c r="D299" s="16">
        <v>35</v>
      </c>
    </row>
    <row r="300" spans="2:4">
      <c r="B300" s="17" t="s">
        <v>153</v>
      </c>
      <c r="C300" s="18" t="s">
        <v>35</v>
      </c>
      <c r="D300" s="16">
        <v>88.16</v>
      </c>
    </row>
    <row r="301" spans="2:4">
      <c r="B301" s="17" t="s">
        <v>153</v>
      </c>
      <c r="C301" s="18" t="s">
        <v>36</v>
      </c>
      <c r="D301" s="16">
        <v>3</v>
      </c>
    </row>
    <row r="302" spans="2:4">
      <c r="B302" s="17" t="s">
        <v>153</v>
      </c>
      <c r="C302" s="18" t="s">
        <v>38</v>
      </c>
      <c r="D302" s="16">
        <v>3</v>
      </c>
    </row>
    <row r="303" spans="2:4">
      <c r="B303" s="17" t="s">
        <v>153</v>
      </c>
      <c r="C303" s="18" t="s">
        <v>40</v>
      </c>
      <c r="D303" s="19">
        <v>16.8</v>
      </c>
    </row>
    <row r="304" spans="2:4">
      <c r="B304" s="17" t="s">
        <v>154</v>
      </c>
      <c r="C304" s="18" t="s">
        <v>120</v>
      </c>
      <c r="D304" s="16">
        <v>72</v>
      </c>
    </row>
    <row r="305" spans="2:4">
      <c r="B305" s="17" t="s">
        <v>154</v>
      </c>
      <c r="C305" s="18" t="s">
        <v>121</v>
      </c>
      <c r="D305" s="16">
        <v>57</v>
      </c>
    </row>
    <row r="306" spans="2:4">
      <c r="B306" s="17" t="s">
        <v>154</v>
      </c>
      <c r="C306" s="18" t="s">
        <v>122</v>
      </c>
      <c r="D306" s="16">
        <v>29</v>
      </c>
    </row>
    <row r="307" spans="2:4">
      <c r="B307" s="17" t="s">
        <v>154</v>
      </c>
      <c r="C307" s="18" t="s">
        <v>123</v>
      </c>
      <c r="D307" s="16">
        <v>16</v>
      </c>
    </row>
    <row r="308" spans="2:4">
      <c r="B308" s="17" t="s">
        <v>154</v>
      </c>
      <c r="C308" s="18" t="s">
        <v>124</v>
      </c>
      <c r="D308" s="16">
        <v>49</v>
      </c>
    </row>
    <row r="309" spans="2:4">
      <c r="B309" s="17" t="s">
        <v>154</v>
      </c>
      <c r="C309" s="18" t="s">
        <v>125</v>
      </c>
      <c r="D309" s="16">
        <v>19</v>
      </c>
    </row>
    <row r="310" spans="2:4">
      <c r="B310" s="17" t="s">
        <v>154</v>
      </c>
      <c r="C310" s="18" t="s">
        <v>126</v>
      </c>
      <c r="D310" s="16">
        <v>57</v>
      </c>
    </row>
    <row r="311" spans="2:4">
      <c r="B311" s="17" t="s">
        <v>154</v>
      </c>
      <c r="C311" s="18" t="s">
        <v>127</v>
      </c>
      <c r="D311" s="16">
        <v>35</v>
      </c>
    </row>
    <row r="312" spans="2:4">
      <c r="B312" s="17" t="s">
        <v>154</v>
      </c>
      <c r="C312" s="18" t="s">
        <v>35</v>
      </c>
      <c r="D312" s="16">
        <v>96.86</v>
      </c>
    </row>
    <row r="313" spans="2:4">
      <c r="B313" s="17" t="s">
        <v>154</v>
      </c>
      <c r="C313" s="18" t="s">
        <v>36</v>
      </c>
      <c r="D313" s="16">
        <v>4</v>
      </c>
    </row>
    <row r="314" spans="2:4">
      <c r="B314" s="17" t="s">
        <v>154</v>
      </c>
      <c r="C314" s="18" t="s">
        <v>38</v>
      </c>
      <c r="D314" s="16">
        <v>4</v>
      </c>
    </row>
    <row r="315" spans="2:4">
      <c r="B315" s="17" t="s">
        <v>154</v>
      </c>
      <c r="C315" s="18" t="s">
        <v>40</v>
      </c>
      <c r="D315" s="19">
        <v>17.9</v>
      </c>
    </row>
    <row r="316" spans="2:4">
      <c r="B316" s="17" t="s">
        <v>155</v>
      </c>
      <c r="C316" s="18" t="s">
        <v>120</v>
      </c>
      <c r="D316" s="16">
        <v>61</v>
      </c>
    </row>
    <row r="317" spans="2:4">
      <c r="B317" s="17" t="s">
        <v>155</v>
      </c>
      <c r="C317" s="18" t="s">
        <v>121</v>
      </c>
      <c r="D317" s="16">
        <v>52</v>
      </c>
    </row>
    <row r="318" spans="2:4">
      <c r="B318" s="17" t="s">
        <v>155</v>
      </c>
      <c r="C318" s="18" t="s">
        <v>122</v>
      </c>
      <c r="D318" s="16">
        <v>27</v>
      </c>
    </row>
    <row r="319" spans="2:4">
      <c r="B319" s="17" t="s">
        <v>155</v>
      </c>
      <c r="C319" s="18" t="s">
        <v>123</v>
      </c>
      <c r="D319" s="16">
        <v>13</v>
      </c>
    </row>
    <row r="320" spans="2:4">
      <c r="B320" s="17" t="s">
        <v>155</v>
      </c>
      <c r="C320" s="18" t="s">
        <v>124</v>
      </c>
      <c r="D320" s="16">
        <v>38</v>
      </c>
    </row>
    <row r="321" spans="2:4">
      <c r="B321" s="17" t="s">
        <v>155</v>
      </c>
      <c r="C321" s="18" t="s">
        <v>125</v>
      </c>
      <c r="D321" s="16">
        <v>17</v>
      </c>
    </row>
    <row r="322" spans="2:4">
      <c r="B322" s="17" t="s">
        <v>155</v>
      </c>
      <c r="C322" s="18" t="s">
        <v>126</v>
      </c>
      <c r="D322" s="16">
        <v>63</v>
      </c>
    </row>
    <row r="323" spans="2:4">
      <c r="B323" s="17" t="s">
        <v>155</v>
      </c>
      <c r="C323" s="18" t="s">
        <v>127</v>
      </c>
      <c r="D323" s="16">
        <v>31</v>
      </c>
    </row>
    <row r="324" spans="2:4">
      <c r="B324" s="17" t="s">
        <v>155</v>
      </c>
      <c r="C324" s="18" t="s">
        <v>35</v>
      </c>
      <c r="D324" s="16">
        <v>87.58</v>
      </c>
    </row>
    <row r="325" spans="2:4">
      <c r="B325" s="17" t="s">
        <v>155</v>
      </c>
      <c r="C325" s="18" t="s">
        <v>36</v>
      </c>
      <c r="D325" s="16">
        <v>4</v>
      </c>
    </row>
    <row r="326" spans="2:4">
      <c r="B326" s="17" t="s">
        <v>155</v>
      </c>
      <c r="C326" s="18" t="s">
        <v>38</v>
      </c>
      <c r="D326" s="16">
        <v>4</v>
      </c>
    </row>
    <row r="327" spans="2:4">
      <c r="B327" s="17" t="s">
        <v>155</v>
      </c>
      <c r="C327" s="18" t="s">
        <v>40</v>
      </c>
      <c r="D327" s="19">
        <v>16.49</v>
      </c>
    </row>
    <row r="328" spans="2:4">
      <c r="B328" s="17" t="s">
        <v>156</v>
      </c>
      <c r="C328" s="18" t="s">
        <v>120</v>
      </c>
      <c r="D328" s="16">
        <v>62</v>
      </c>
    </row>
    <row r="329" spans="2:4">
      <c r="B329" s="17" t="s">
        <v>156</v>
      </c>
      <c r="C329" s="18" t="s">
        <v>121</v>
      </c>
      <c r="D329" s="16">
        <v>48</v>
      </c>
    </row>
    <row r="330" spans="2:4">
      <c r="B330" s="17" t="s">
        <v>156</v>
      </c>
      <c r="C330" s="18" t="s">
        <v>122</v>
      </c>
      <c r="D330" s="16">
        <v>25</v>
      </c>
    </row>
    <row r="331" spans="2:4">
      <c r="B331" s="17" t="s">
        <v>156</v>
      </c>
      <c r="C331" s="18" t="s">
        <v>123</v>
      </c>
      <c r="D331" s="16">
        <v>20</v>
      </c>
    </row>
    <row r="332" spans="2:4">
      <c r="B332" s="17" t="s">
        <v>156</v>
      </c>
      <c r="C332" s="18" t="s">
        <v>124</v>
      </c>
      <c r="D332" s="16">
        <v>47</v>
      </c>
    </row>
    <row r="333" spans="2:4">
      <c r="B333" s="17" t="s">
        <v>156</v>
      </c>
      <c r="C333" s="18" t="s">
        <v>125</v>
      </c>
      <c r="D333" s="16">
        <v>11</v>
      </c>
    </row>
    <row r="334" spans="2:4">
      <c r="B334" s="17" t="s">
        <v>156</v>
      </c>
      <c r="C334" s="18" t="s">
        <v>126</v>
      </c>
      <c r="D334" s="16">
        <v>56</v>
      </c>
    </row>
    <row r="335" spans="2:4">
      <c r="B335" s="17" t="s">
        <v>156</v>
      </c>
      <c r="C335" s="18" t="s">
        <v>127</v>
      </c>
      <c r="D335" s="16">
        <v>30</v>
      </c>
    </row>
    <row r="336" spans="2:4">
      <c r="B336" s="17" t="s">
        <v>156</v>
      </c>
      <c r="C336" s="18" t="s">
        <v>35</v>
      </c>
      <c r="D336" s="16">
        <v>80.73</v>
      </c>
    </row>
    <row r="337" spans="2:4">
      <c r="B337" s="17" t="s">
        <v>156</v>
      </c>
      <c r="C337" s="18" t="s">
        <v>36</v>
      </c>
      <c r="D337" s="16">
        <v>3</v>
      </c>
    </row>
    <row r="338" spans="2:4">
      <c r="B338" s="17" t="s">
        <v>156</v>
      </c>
      <c r="C338" s="18" t="s">
        <v>38</v>
      </c>
      <c r="D338" s="16">
        <v>4</v>
      </c>
    </row>
    <row r="339" spans="2:4">
      <c r="B339" s="17" t="s">
        <v>156</v>
      </c>
      <c r="C339" s="18" t="s">
        <v>40</v>
      </c>
      <c r="D339" s="19">
        <v>16.54</v>
      </c>
    </row>
    <row r="340" spans="2:4">
      <c r="B340" s="17" t="s">
        <v>157</v>
      </c>
      <c r="C340" s="18" t="s">
        <v>120</v>
      </c>
      <c r="D340" s="16">
        <v>59</v>
      </c>
    </row>
    <row r="341" spans="2:4">
      <c r="B341" s="17" t="s">
        <v>157</v>
      </c>
      <c r="C341" s="18" t="s">
        <v>121</v>
      </c>
      <c r="D341" s="16">
        <v>58</v>
      </c>
    </row>
    <row r="342" spans="2:4">
      <c r="B342" s="17" t="s">
        <v>157</v>
      </c>
      <c r="C342" s="18" t="s">
        <v>122</v>
      </c>
      <c r="D342" s="16">
        <v>32</v>
      </c>
    </row>
    <row r="343" spans="2:4">
      <c r="B343" s="17" t="s">
        <v>157</v>
      </c>
      <c r="C343" s="18" t="s">
        <v>123</v>
      </c>
      <c r="D343" s="16">
        <v>13</v>
      </c>
    </row>
    <row r="344" spans="2:4">
      <c r="B344" s="17" t="s">
        <v>157</v>
      </c>
      <c r="C344" s="18" t="s">
        <v>124</v>
      </c>
      <c r="D344" s="16">
        <v>41</v>
      </c>
    </row>
    <row r="345" spans="2:4">
      <c r="B345" s="17" t="s">
        <v>157</v>
      </c>
      <c r="C345" s="18" t="s">
        <v>125</v>
      </c>
      <c r="D345" s="16">
        <v>13</v>
      </c>
    </row>
    <row r="346" spans="2:4">
      <c r="B346" s="17" t="s">
        <v>157</v>
      </c>
      <c r="C346" s="18" t="s">
        <v>126</v>
      </c>
      <c r="D346" s="16">
        <v>54</v>
      </c>
    </row>
    <row r="347" spans="2:4">
      <c r="B347" s="17" t="s">
        <v>157</v>
      </c>
      <c r="C347" s="18" t="s">
        <v>127</v>
      </c>
      <c r="D347" s="16">
        <v>35</v>
      </c>
    </row>
    <row r="348" spans="2:4">
      <c r="B348" s="17" t="s">
        <v>157</v>
      </c>
      <c r="C348" s="18" t="s">
        <v>35</v>
      </c>
      <c r="D348" s="16">
        <v>88.45</v>
      </c>
    </row>
    <row r="349" spans="2:4">
      <c r="B349" s="17" t="s">
        <v>157</v>
      </c>
      <c r="C349" s="18" t="s">
        <v>36</v>
      </c>
      <c r="D349" s="16">
        <v>4</v>
      </c>
    </row>
    <row r="350" spans="2:4">
      <c r="B350" s="17" t="s">
        <v>157</v>
      </c>
      <c r="C350" s="18" t="s">
        <v>38</v>
      </c>
      <c r="D350" s="16">
        <v>5</v>
      </c>
    </row>
    <row r="351" spans="2:4">
      <c r="B351" s="17" t="s">
        <v>157</v>
      </c>
      <c r="C351" s="18" t="s">
        <v>40</v>
      </c>
      <c r="D351" s="19">
        <v>16.05</v>
      </c>
    </row>
    <row r="352" spans="2:4">
      <c r="B352" s="17" t="s">
        <v>158</v>
      </c>
      <c r="C352" s="18" t="s">
        <v>120</v>
      </c>
      <c r="D352" s="16">
        <v>67</v>
      </c>
    </row>
    <row r="353" spans="2:4">
      <c r="B353" s="17" t="s">
        <v>158</v>
      </c>
      <c r="C353" s="18" t="s">
        <v>121</v>
      </c>
      <c r="D353" s="16">
        <v>56</v>
      </c>
    </row>
    <row r="354" spans="2:4">
      <c r="B354" s="17" t="s">
        <v>158</v>
      </c>
      <c r="C354" s="18" t="s">
        <v>122</v>
      </c>
      <c r="D354" s="16">
        <v>31</v>
      </c>
    </row>
    <row r="355" spans="2:4">
      <c r="B355" s="17" t="s">
        <v>158</v>
      </c>
      <c r="C355" s="18" t="s">
        <v>123</v>
      </c>
      <c r="D355" s="16">
        <v>18</v>
      </c>
    </row>
    <row r="356" spans="2:4">
      <c r="B356" s="17" t="s">
        <v>158</v>
      </c>
      <c r="C356" s="18" t="s">
        <v>124</v>
      </c>
      <c r="D356" s="16">
        <v>47</v>
      </c>
    </row>
    <row r="357" spans="2:4">
      <c r="B357" s="17" t="s">
        <v>158</v>
      </c>
      <c r="C357" s="18" t="s">
        <v>125</v>
      </c>
      <c r="D357" s="16">
        <v>17</v>
      </c>
    </row>
    <row r="358" spans="2:4">
      <c r="B358" s="17" t="s">
        <v>158</v>
      </c>
      <c r="C358" s="18" t="s">
        <v>126</v>
      </c>
      <c r="D358" s="16">
        <v>66</v>
      </c>
    </row>
    <row r="359" spans="2:4">
      <c r="B359" s="17" t="s">
        <v>158</v>
      </c>
      <c r="C359" s="18" t="s">
        <v>127</v>
      </c>
      <c r="D359" s="16">
        <v>30</v>
      </c>
    </row>
    <row r="360" spans="2:4">
      <c r="B360" s="17" t="s">
        <v>158</v>
      </c>
      <c r="C360" s="18" t="s">
        <v>35</v>
      </c>
      <c r="D360" s="16">
        <v>102.92</v>
      </c>
    </row>
    <row r="361" spans="2:4">
      <c r="B361" s="17" t="s">
        <v>158</v>
      </c>
      <c r="C361" s="18" t="s">
        <v>36</v>
      </c>
      <c r="D361" s="16">
        <v>3</v>
      </c>
    </row>
    <row r="362" spans="2:4">
      <c r="B362" s="17" t="s">
        <v>158</v>
      </c>
      <c r="C362" s="18" t="s">
        <v>38</v>
      </c>
      <c r="D362" s="16">
        <v>4</v>
      </c>
    </row>
    <row r="363" spans="2:4">
      <c r="B363" s="17" t="s">
        <v>158</v>
      </c>
      <c r="C363" s="18" t="s">
        <v>40</v>
      </c>
      <c r="D363" s="19">
        <v>18.36</v>
      </c>
    </row>
    <row r="364" spans="2:4">
      <c r="B364" s="17" t="s">
        <v>159</v>
      </c>
      <c r="C364" s="18" t="s">
        <v>120</v>
      </c>
      <c r="D364" s="16">
        <v>70</v>
      </c>
    </row>
    <row r="365" spans="2:4">
      <c r="B365" s="17" t="s">
        <v>159</v>
      </c>
      <c r="C365" s="18" t="s">
        <v>121</v>
      </c>
      <c r="D365" s="16">
        <v>52</v>
      </c>
    </row>
    <row r="366" spans="2:4">
      <c r="B366" s="17" t="s">
        <v>159</v>
      </c>
      <c r="C366" s="18" t="s">
        <v>122</v>
      </c>
      <c r="D366" s="16">
        <v>37</v>
      </c>
    </row>
    <row r="367" spans="2:4">
      <c r="B367" s="17" t="s">
        <v>159</v>
      </c>
      <c r="C367" s="18" t="s">
        <v>123</v>
      </c>
      <c r="D367" s="16">
        <v>10</v>
      </c>
    </row>
    <row r="368" spans="2:4">
      <c r="B368" s="17" t="s">
        <v>159</v>
      </c>
      <c r="C368" s="18" t="s">
        <v>124</v>
      </c>
      <c r="D368" s="16">
        <v>35</v>
      </c>
    </row>
    <row r="369" spans="2:4">
      <c r="B369" s="17" t="s">
        <v>159</v>
      </c>
      <c r="C369" s="18" t="s">
        <v>125</v>
      </c>
      <c r="D369" s="16">
        <v>18</v>
      </c>
    </row>
    <row r="370" spans="2:4">
      <c r="B370" s="17" t="s">
        <v>159</v>
      </c>
      <c r="C370" s="18" t="s">
        <v>126</v>
      </c>
      <c r="D370" s="16">
        <v>59</v>
      </c>
    </row>
    <row r="371" spans="2:4">
      <c r="B371" s="17" t="s">
        <v>159</v>
      </c>
      <c r="C371" s="18" t="s">
        <v>127</v>
      </c>
      <c r="D371" s="16">
        <v>35</v>
      </c>
    </row>
    <row r="372" spans="2:4">
      <c r="B372" s="17" t="s">
        <v>159</v>
      </c>
      <c r="C372" s="18" t="s">
        <v>35</v>
      </c>
      <c r="D372" s="16">
        <v>104.28</v>
      </c>
    </row>
    <row r="373" spans="2:4">
      <c r="B373" s="17" t="s">
        <v>159</v>
      </c>
      <c r="C373" s="18" t="s">
        <v>36</v>
      </c>
      <c r="D373" s="16">
        <v>3</v>
      </c>
    </row>
    <row r="374" spans="2:4">
      <c r="B374" s="17" t="s">
        <v>159</v>
      </c>
      <c r="C374" s="18" t="s">
        <v>38</v>
      </c>
      <c r="D374" s="16">
        <v>5</v>
      </c>
    </row>
    <row r="375" spans="2:4">
      <c r="B375" s="17" t="s">
        <v>159</v>
      </c>
      <c r="C375" s="18" t="s">
        <v>40</v>
      </c>
      <c r="D375" s="19">
        <v>17.24</v>
      </c>
    </row>
    <row r="376" spans="2:4">
      <c r="B376" s="17" t="s">
        <v>160</v>
      </c>
      <c r="C376" s="18" t="s">
        <v>120</v>
      </c>
      <c r="D376" s="16">
        <v>75</v>
      </c>
    </row>
    <row r="377" spans="2:4">
      <c r="B377" s="17" t="s">
        <v>160</v>
      </c>
      <c r="C377" s="18" t="s">
        <v>121</v>
      </c>
      <c r="D377" s="16">
        <v>47</v>
      </c>
    </row>
    <row r="378" spans="2:4">
      <c r="B378" s="17" t="s">
        <v>160</v>
      </c>
      <c r="C378" s="18" t="s">
        <v>122</v>
      </c>
      <c r="D378" s="16">
        <v>27</v>
      </c>
    </row>
    <row r="379" spans="2:4">
      <c r="B379" s="17" t="s">
        <v>160</v>
      </c>
      <c r="C379" s="18" t="s">
        <v>123</v>
      </c>
      <c r="D379" s="16">
        <v>19</v>
      </c>
    </row>
    <row r="380" spans="2:4">
      <c r="B380" s="17" t="s">
        <v>160</v>
      </c>
      <c r="C380" s="18" t="s">
        <v>124</v>
      </c>
      <c r="D380" s="16">
        <v>45</v>
      </c>
    </row>
    <row r="381" spans="2:4">
      <c r="B381" s="17" t="s">
        <v>160</v>
      </c>
      <c r="C381" s="18" t="s">
        <v>125</v>
      </c>
      <c r="D381" s="16">
        <v>11</v>
      </c>
    </row>
    <row r="382" spans="2:4">
      <c r="B382" s="17" t="s">
        <v>160</v>
      </c>
      <c r="C382" s="18" t="s">
        <v>126</v>
      </c>
      <c r="D382" s="16">
        <v>59</v>
      </c>
    </row>
    <row r="383" spans="2:4">
      <c r="B383" s="17" t="s">
        <v>160</v>
      </c>
      <c r="C383" s="18" t="s">
        <v>127</v>
      </c>
      <c r="D383" s="16">
        <v>30</v>
      </c>
    </row>
    <row r="384" spans="2:4">
      <c r="B384" s="17" t="s">
        <v>160</v>
      </c>
      <c r="C384" s="18" t="s">
        <v>35</v>
      </c>
      <c r="D384" s="16">
        <v>78.25</v>
      </c>
    </row>
    <row r="385" spans="2:4">
      <c r="B385" s="17" t="s">
        <v>160</v>
      </c>
      <c r="C385" s="18" t="s">
        <v>36</v>
      </c>
      <c r="D385" s="16">
        <v>4</v>
      </c>
    </row>
    <row r="386" spans="2:4">
      <c r="B386" s="17" t="s">
        <v>160</v>
      </c>
      <c r="C386" s="18" t="s">
        <v>38</v>
      </c>
      <c r="D386" s="16">
        <v>5</v>
      </c>
    </row>
    <row r="387" spans="2:4">
      <c r="B387" s="17" t="s">
        <v>160</v>
      </c>
      <c r="C387" s="18" t="s">
        <v>40</v>
      </c>
      <c r="D387" s="19">
        <v>17.84</v>
      </c>
    </row>
    <row r="388" spans="2:4">
      <c r="B388" s="17" t="s">
        <v>161</v>
      </c>
      <c r="C388" s="18" t="s">
        <v>120</v>
      </c>
      <c r="D388" s="16">
        <v>65</v>
      </c>
    </row>
    <row r="389" spans="2:4">
      <c r="B389" s="17" t="s">
        <v>161</v>
      </c>
      <c r="C389" s="18" t="s">
        <v>121</v>
      </c>
      <c r="D389" s="16">
        <v>47</v>
      </c>
    </row>
    <row r="390" spans="2:4">
      <c r="B390" s="17" t="s">
        <v>161</v>
      </c>
      <c r="C390" s="18" t="s">
        <v>122</v>
      </c>
      <c r="D390" s="16">
        <v>38</v>
      </c>
    </row>
    <row r="391" spans="2:4">
      <c r="B391" s="17" t="s">
        <v>161</v>
      </c>
      <c r="C391" s="18" t="s">
        <v>123</v>
      </c>
      <c r="D391" s="16">
        <v>13</v>
      </c>
    </row>
    <row r="392" spans="2:4">
      <c r="B392" s="17" t="s">
        <v>161</v>
      </c>
      <c r="C392" s="18" t="s">
        <v>124</v>
      </c>
      <c r="D392" s="16">
        <v>39</v>
      </c>
    </row>
    <row r="393" spans="2:4">
      <c r="B393" s="17" t="s">
        <v>161</v>
      </c>
      <c r="C393" s="18" t="s">
        <v>125</v>
      </c>
      <c r="D393" s="16">
        <v>11</v>
      </c>
    </row>
    <row r="394" spans="2:4">
      <c r="B394" s="17" t="s">
        <v>161</v>
      </c>
      <c r="C394" s="18" t="s">
        <v>126</v>
      </c>
      <c r="D394" s="16">
        <v>58</v>
      </c>
    </row>
    <row r="395" spans="2:4">
      <c r="B395" s="17" t="s">
        <v>161</v>
      </c>
      <c r="C395" s="18" t="s">
        <v>127</v>
      </c>
      <c r="D395" s="16">
        <v>32</v>
      </c>
    </row>
    <row r="396" spans="2:4">
      <c r="B396" s="17" t="s">
        <v>161</v>
      </c>
      <c r="C396" s="18" t="s">
        <v>35</v>
      </c>
      <c r="D396" s="16">
        <v>78.78</v>
      </c>
    </row>
    <row r="397" spans="2:4">
      <c r="B397" s="17" t="s">
        <v>161</v>
      </c>
      <c r="C397" s="18" t="s">
        <v>36</v>
      </c>
      <c r="D397" s="16">
        <v>3</v>
      </c>
    </row>
    <row r="398" spans="2:4">
      <c r="B398" s="17" t="s">
        <v>161</v>
      </c>
      <c r="C398" s="18" t="s">
        <v>38</v>
      </c>
      <c r="D398" s="16">
        <v>4</v>
      </c>
    </row>
    <row r="399" spans="2:4">
      <c r="B399" s="17" t="s">
        <v>161</v>
      </c>
      <c r="C399" s="18" t="s">
        <v>40</v>
      </c>
      <c r="D399" s="19">
        <v>17.17</v>
      </c>
    </row>
    <row r="400" spans="2:4">
      <c r="B400" s="17" t="s">
        <v>162</v>
      </c>
      <c r="C400" s="18" t="s">
        <v>120</v>
      </c>
      <c r="D400" s="16">
        <v>72</v>
      </c>
    </row>
    <row r="401" spans="2:4">
      <c r="B401" s="17" t="s">
        <v>162</v>
      </c>
      <c r="C401" s="18" t="s">
        <v>121</v>
      </c>
      <c r="D401" s="16">
        <v>51</v>
      </c>
    </row>
    <row r="402" spans="2:4">
      <c r="B402" s="17" t="s">
        <v>162</v>
      </c>
      <c r="C402" s="18" t="s">
        <v>122</v>
      </c>
      <c r="D402" s="16">
        <v>34</v>
      </c>
    </row>
    <row r="403" spans="2:4">
      <c r="B403" s="17" t="s">
        <v>162</v>
      </c>
      <c r="C403" s="18" t="s">
        <v>123</v>
      </c>
      <c r="D403" s="16">
        <v>16</v>
      </c>
    </row>
    <row r="404" spans="2:4">
      <c r="B404" s="17" t="s">
        <v>162</v>
      </c>
      <c r="C404" s="18" t="s">
        <v>124</v>
      </c>
      <c r="D404" s="16">
        <v>39</v>
      </c>
    </row>
    <row r="405" spans="2:4">
      <c r="B405" s="17" t="s">
        <v>162</v>
      </c>
      <c r="C405" s="18" t="s">
        <v>125</v>
      </c>
      <c r="D405" s="16">
        <v>10</v>
      </c>
    </row>
    <row r="406" spans="2:4">
      <c r="B406" s="17" t="s">
        <v>162</v>
      </c>
      <c r="C406" s="18" t="s">
        <v>126</v>
      </c>
      <c r="D406" s="16">
        <v>64</v>
      </c>
    </row>
    <row r="407" spans="2:4">
      <c r="B407" s="17" t="s">
        <v>162</v>
      </c>
      <c r="C407" s="18" t="s">
        <v>127</v>
      </c>
      <c r="D407" s="16">
        <v>35</v>
      </c>
    </row>
    <row r="408" spans="2:4">
      <c r="B408" s="17" t="s">
        <v>162</v>
      </c>
      <c r="C408" s="18" t="s">
        <v>35</v>
      </c>
      <c r="D408" s="16">
        <v>83.46</v>
      </c>
    </row>
    <row r="409" spans="2:4">
      <c r="B409" s="17" t="s">
        <v>162</v>
      </c>
      <c r="C409" s="18" t="s">
        <v>36</v>
      </c>
      <c r="D409" s="16">
        <v>3</v>
      </c>
    </row>
    <row r="410" spans="2:4">
      <c r="B410" s="17" t="s">
        <v>162</v>
      </c>
      <c r="C410" s="18" t="s">
        <v>38</v>
      </c>
      <c r="D410" s="16">
        <v>5</v>
      </c>
    </row>
    <row r="411" spans="2:4">
      <c r="B411" s="17" t="s">
        <v>162</v>
      </c>
      <c r="C411" s="18" t="s">
        <v>40</v>
      </c>
      <c r="D411" s="19">
        <v>18.05</v>
      </c>
    </row>
    <row r="412" spans="2:4">
      <c r="B412" s="17" t="s">
        <v>163</v>
      </c>
      <c r="C412" s="18" t="s">
        <v>120</v>
      </c>
      <c r="D412" s="16">
        <v>64</v>
      </c>
    </row>
    <row r="413" spans="2:4">
      <c r="B413" s="17" t="s">
        <v>163</v>
      </c>
      <c r="C413" s="18" t="s">
        <v>121</v>
      </c>
      <c r="D413" s="16">
        <v>52</v>
      </c>
    </row>
    <row r="414" spans="2:4">
      <c r="B414" s="17" t="s">
        <v>163</v>
      </c>
      <c r="C414" s="18" t="s">
        <v>122</v>
      </c>
      <c r="D414" s="16">
        <v>37</v>
      </c>
    </row>
    <row r="415" spans="2:4">
      <c r="B415" s="17" t="s">
        <v>163</v>
      </c>
      <c r="C415" s="18" t="s">
        <v>123</v>
      </c>
      <c r="D415" s="16">
        <v>15</v>
      </c>
    </row>
    <row r="416" spans="2:4">
      <c r="B416" s="17" t="s">
        <v>163</v>
      </c>
      <c r="C416" s="18" t="s">
        <v>124</v>
      </c>
      <c r="D416" s="16">
        <v>50</v>
      </c>
    </row>
    <row r="417" spans="2:4">
      <c r="B417" s="17" t="s">
        <v>163</v>
      </c>
      <c r="C417" s="18" t="s">
        <v>125</v>
      </c>
      <c r="D417" s="16">
        <v>14</v>
      </c>
    </row>
    <row r="418" spans="2:4">
      <c r="B418" s="17" t="s">
        <v>163</v>
      </c>
      <c r="C418" s="18" t="s">
        <v>126</v>
      </c>
      <c r="D418" s="16">
        <v>58</v>
      </c>
    </row>
    <row r="419" spans="2:4">
      <c r="B419" s="17" t="s">
        <v>163</v>
      </c>
      <c r="C419" s="18" t="s">
        <v>127</v>
      </c>
      <c r="D419" s="16">
        <v>33</v>
      </c>
    </row>
    <row r="420" spans="2:4">
      <c r="B420" s="17" t="s">
        <v>163</v>
      </c>
      <c r="C420" s="18" t="s">
        <v>35</v>
      </c>
      <c r="D420" s="16">
        <v>87.21</v>
      </c>
    </row>
    <row r="421" spans="2:4">
      <c r="B421" s="17" t="s">
        <v>163</v>
      </c>
      <c r="C421" s="18" t="s">
        <v>36</v>
      </c>
      <c r="D421" s="16">
        <v>3</v>
      </c>
    </row>
    <row r="422" spans="2:4">
      <c r="B422" s="17" t="s">
        <v>163</v>
      </c>
      <c r="C422" s="18" t="s">
        <v>38</v>
      </c>
      <c r="D422" s="16">
        <v>5</v>
      </c>
    </row>
    <row r="423" spans="2:4">
      <c r="B423" s="17" t="s">
        <v>163</v>
      </c>
      <c r="C423" s="18" t="s">
        <v>40</v>
      </c>
      <c r="D423" s="19">
        <v>18.01</v>
      </c>
    </row>
    <row r="424" spans="2:4">
      <c r="B424" s="17" t="s">
        <v>164</v>
      </c>
      <c r="C424" s="18" t="s">
        <v>120</v>
      </c>
      <c r="D424" s="16">
        <v>66</v>
      </c>
    </row>
    <row r="425" spans="2:4">
      <c r="B425" s="17" t="s">
        <v>164</v>
      </c>
      <c r="C425" s="18" t="s">
        <v>121</v>
      </c>
      <c r="D425" s="16">
        <v>56</v>
      </c>
    </row>
    <row r="426" spans="2:4">
      <c r="B426" s="17" t="s">
        <v>164</v>
      </c>
      <c r="C426" s="18" t="s">
        <v>122</v>
      </c>
      <c r="D426" s="16">
        <v>38</v>
      </c>
    </row>
    <row r="427" spans="2:4">
      <c r="B427" s="17" t="s">
        <v>164</v>
      </c>
      <c r="C427" s="18" t="s">
        <v>123</v>
      </c>
      <c r="D427" s="16">
        <v>13</v>
      </c>
    </row>
    <row r="428" spans="2:4">
      <c r="B428" s="17" t="s">
        <v>164</v>
      </c>
      <c r="C428" s="18" t="s">
        <v>124</v>
      </c>
      <c r="D428" s="16">
        <v>41</v>
      </c>
    </row>
    <row r="429" spans="2:4">
      <c r="B429" s="17" t="s">
        <v>164</v>
      </c>
      <c r="C429" s="18" t="s">
        <v>125</v>
      </c>
      <c r="D429" s="16">
        <v>18</v>
      </c>
    </row>
    <row r="430" spans="2:4">
      <c r="B430" s="17" t="s">
        <v>164</v>
      </c>
      <c r="C430" s="18" t="s">
        <v>126</v>
      </c>
      <c r="D430" s="16">
        <v>65</v>
      </c>
    </row>
    <row r="431" spans="2:4">
      <c r="B431" s="17" t="s">
        <v>164</v>
      </c>
      <c r="C431" s="18" t="s">
        <v>127</v>
      </c>
      <c r="D431" s="16">
        <v>30</v>
      </c>
    </row>
    <row r="432" spans="2:4">
      <c r="B432" s="17" t="s">
        <v>164</v>
      </c>
      <c r="C432" s="18" t="s">
        <v>35</v>
      </c>
      <c r="D432" s="16">
        <v>91.56</v>
      </c>
    </row>
    <row r="433" spans="2:4">
      <c r="B433" s="17" t="s">
        <v>164</v>
      </c>
      <c r="C433" s="18" t="s">
        <v>36</v>
      </c>
      <c r="D433" s="16">
        <v>4</v>
      </c>
    </row>
    <row r="434" spans="2:4">
      <c r="B434" s="17" t="s">
        <v>164</v>
      </c>
      <c r="C434" s="18" t="s">
        <v>38</v>
      </c>
      <c r="D434" s="16">
        <v>4</v>
      </c>
    </row>
    <row r="435" spans="2:4">
      <c r="B435" s="17" t="s">
        <v>164</v>
      </c>
      <c r="C435" s="18" t="s">
        <v>40</v>
      </c>
      <c r="D435" s="19">
        <v>18.13</v>
      </c>
    </row>
    <row r="436" spans="2:4">
      <c r="B436" t="s">
        <v>140</v>
      </c>
      <c r="C436" t="s">
        <v>128</v>
      </c>
      <c r="D436">
        <v>524</v>
      </c>
    </row>
    <row r="437" spans="2:4">
      <c r="B437" t="s">
        <v>152</v>
      </c>
      <c r="C437" t="s">
        <v>128</v>
      </c>
      <c r="D437">
        <v>550</v>
      </c>
    </row>
    <row r="438" spans="2:4">
      <c r="B438" t="s">
        <v>164</v>
      </c>
      <c r="C438" t="s">
        <v>128</v>
      </c>
      <c r="D438">
        <v>628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workbookViewId="0">
      <selection activeCell="D6" sqref="D6"/>
    </sheetView>
  </sheetViews>
  <sheetFormatPr defaultColWidth="9" defaultRowHeight="11.4" outlineLevelCol="2"/>
  <cols>
    <col min="1" max="1" width="26.4259259259259" style="1" customWidth="1"/>
    <col min="2" max="2" width="9.13888888888889" style="1"/>
    <col min="3" max="3" width="9.22222222222222" style="1"/>
    <col min="4" max="16384" width="9.13888888888889" style="1"/>
  </cols>
  <sheetData>
    <row r="1" ht="12.75" spans="1:3">
      <c r="A1" s="2" t="s">
        <v>165</v>
      </c>
      <c r="B1" s="12"/>
      <c r="C1" s="3">
        <v>42004</v>
      </c>
    </row>
    <row r="2" ht="14.4" spans="1:3">
      <c r="A2" s="1" t="s">
        <v>166</v>
      </c>
      <c r="B2" s="13"/>
      <c r="C2" s="4">
        <v>44.609</v>
      </c>
    </row>
    <row r="3" ht="14.4" spans="1:3">
      <c r="A3" s="1" t="s">
        <v>167</v>
      </c>
      <c r="B3" s="13"/>
      <c r="C3" s="4">
        <v>33.097</v>
      </c>
    </row>
    <row r="4" ht="14.4" spans="1:3">
      <c r="A4" s="1" t="s">
        <v>168</v>
      </c>
      <c r="B4" s="13"/>
      <c r="C4" s="4">
        <v>31.658</v>
      </c>
    </row>
    <row r="5" ht="14.4" spans="1:3">
      <c r="A5" s="1" t="s">
        <v>169</v>
      </c>
      <c r="B5" s="13"/>
      <c r="C5" s="4">
        <v>20.146</v>
      </c>
    </row>
    <row r="6" ht="14.4" spans="1:3">
      <c r="A6" s="1" t="s">
        <v>170</v>
      </c>
      <c r="B6" s="13"/>
      <c r="C6" s="4">
        <v>14.39</v>
      </c>
    </row>
    <row r="7" ht="12" spans="1:3">
      <c r="A7" s="5" t="s">
        <v>48</v>
      </c>
      <c r="B7" s="5"/>
      <c r="C7" s="6">
        <v>143.9</v>
      </c>
    </row>
    <row r="8" ht="12" spans="1:3">
      <c r="A8" s="9"/>
      <c r="B8" s="9"/>
      <c r="C8" s="14"/>
    </row>
    <row r="9" ht="14.4" spans="1:3">
      <c r="A9" s="1" t="s">
        <v>171</v>
      </c>
      <c r="B9" s="13"/>
      <c r="C9" s="4">
        <v>29.75</v>
      </c>
    </row>
    <row r="10" ht="14.4" spans="1:3">
      <c r="A10" s="1" t="s">
        <v>172</v>
      </c>
      <c r="B10" s="13"/>
      <c r="C10" s="4">
        <v>18.7</v>
      </c>
    </row>
    <row r="11" ht="14.4" spans="1:3">
      <c r="A11" s="1" t="s">
        <v>173</v>
      </c>
      <c r="B11" s="13"/>
      <c r="C11" s="4">
        <v>16.15</v>
      </c>
    </row>
    <row r="12" ht="14.4" spans="1:3">
      <c r="A12" s="1" t="s">
        <v>174</v>
      </c>
      <c r="B12" s="13"/>
      <c r="C12" s="4">
        <v>11.05</v>
      </c>
    </row>
    <row r="13" ht="14.4" spans="1:3">
      <c r="A13" s="1" t="s">
        <v>175</v>
      </c>
      <c r="B13" s="13"/>
      <c r="C13" s="4">
        <v>9.35</v>
      </c>
    </row>
    <row r="14" ht="12" spans="1:3">
      <c r="A14" s="5" t="s">
        <v>49</v>
      </c>
      <c r="B14" s="5"/>
      <c r="C14" s="6">
        <v>85</v>
      </c>
    </row>
    <row r="16" ht="14.4" spans="1:3">
      <c r="A16" s="1" t="s">
        <v>176</v>
      </c>
      <c r="B16" s="13"/>
      <c r="C16" s="4">
        <v>346.475</v>
      </c>
    </row>
    <row r="17" ht="14.4" spans="1:3">
      <c r="A17" s="1" t="s">
        <v>177</v>
      </c>
      <c r="B17" s="13"/>
      <c r="C17" s="4">
        <v>139.525</v>
      </c>
    </row>
    <row r="18" ht="14.4" spans="1:3">
      <c r="A18" s="1" t="s">
        <v>178</v>
      </c>
      <c r="B18" s="13"/>
      <c r="C18" s="4">
        <v>125.575</v>
      </c>
    </row>
    <row r="19" ht="14.4" spans="1:3">
      <c r="A19" s="1" t="s">
        <v>179</v>
      </c>
      <c r="B19" s="13"/>
      <c r="C19" s="4">
        <v>20.925</v>
      </c>
    </row>
    <row r="20" ht="12" spans="1:3">
      <c r="A20" s="5" t="s">
        <v>50</v>
      </c>
      <c r="B20" s="5"/>
      <c r="C20" s="6">
        <v>632.5</v>
      </c>
    </row>
    <row r="22" ht="14.4" spans="1:3">
      <c r="A22" s="1" t="s">
        <v>180</v>
      </c>
      <c r="B22" s="13"/>
      <c r="C22" s="7">
        <v>16.12</v>
      </c>
    </row>
    <row r="23" ht="14.4" spans="1:3">
      <c r="A23" s="1" t="s">
        <v>181</v>
      </c>
      <c r="B23" s="13"/>
      <c r="C23" s="7">
        <v>6.2</v>
      </c>
    </row>
    <row r="24" ht="14.4" spans="1:3">
      <c r="A24" s="1" t="s">
        <v>182</v>
      </c>
      <c r="B24" s="13"/>
      <c r="C24" s="7">
        <v>2.48</v>
      </c>
    </row>
    <row r="25" ht="12" spans="1:3">
      <c r="A25" s="5" t="s">
        <v>51</v>
      </c>
      <c r="B25" s="5"/>
      <c r="C25" s="5">
        <v>24.8</v>
      </c>
    </row>
    <row r="27" ht="14.4" spans="1:3">
      <c r="A27" s="1" t="s">
        <v>52</v>
      </c>
      <c r="B27" s="13"/>
      <c r="C27" s="1">
        <v>45.9</v>
      </c>
    </row>
    <row r="28" ht="12" spans="1:3">
      <c r="A28" s="5" t="s">
        <v>52</v>
      </c>
      <c r="B28" s="5"/>
      <c r="C28" s="5">
        <v>45.9</v>
      </c>
    </row>
    <row r="29" ht="12" spans="1:3">
      <c r="A29" s="9"/>
      <c r="B29" s="9"/>
      <c r="C29" s="9"/>
    </row>
    <row r="30" ht="12.75" spans="1:3">
      <c r="A30" s="10" t="s">
        <v>53</v>
      </c>
      <c r="B30" s="10"/>
      <c r="C30" s="15">
        <v>932.1</v>
      </c>
    </row>
    <row r="32" ht="14.4" spans="1:3">
      <c r="A32" s="1" t="s">
        <v>183</v>
      </c>
      <c r="B32" s="13"/>
      <c r="C32" s="4">
        <v>17</v>
      </c>
    </row>
    <row r="33" ht="14.4" spans="1:3">
      <c r="A33" s="1" t="s">
        <v>184</v>
      </c>
      <c r="B33" s="13"/>
      <c r="C33" s="4">
        <v>17</v>
      </c>
    </row>
    <row r="34" ht="14.4" spans="1:3">
      <c r="A34" s="1" t="s">
        <v>185</v>
      </c>
      <c r="B34" s="13"/>
      <c r="C34" s="4">
        <v>14.96</v>
      </c>
    </row>
    <row r="35" ht="14.4" spans="1:3">
      <c r="A35" s="1" t="s">
        <v>186</v>
      </c>
      <c r="B35" s="13"/>
      <c r="C35" s="4">
        <v>10.2</v>
      </c>
    </row>
    <row r="36" ht="14.4" spans="1:3">
      <c r="A36" s="1" t="s">
        <v>187</v>
      </c>
      <c r="B36" s="13"/>
      <c r="C36" s="4">
        <v>8.84</v>
      </c>
    </row>
    <row r="37" ht="12" spans="1:3">
      <c r="A37" s="5" t="s">
        <v>54</v>
      </c>
      <c r="B37" s="5"/>
      <c r="C37" s="6">
        <v>68</v>
      </c>
    </row>
    <row r="38" ht="12" spans="1:3">
      <c r="A38" s="9"/>
      <c r="B38" s="9"/>
      <c r="C38" s="14"/>
    </row>
    <row r="39" ht="14.4" spans="1:3">
      <c r="A39" s="1" t="s">
        <v>188</v>
      </c>
      <c r="B39" s="13"/>
      <c r="C39" s="4">
        <v>22.425</v>
      </c>
    </row>
    <row r="40" ht="14.4" spans="1:3">
      <c r="A40" s="1" t="s">
        <v>189</v>
      </c>
      <c r="B40" s="13"/>
      <c r="C40" s="4">
        <v>6.825</v>
      </c>
    </row>
    <row r="41" ht="14.4" spans="1:3">
      <c r="A41" s="1" t="s">
        <v>190</v>
      </c>
      <c r="B41" s="13"/>
      <c r="C41" s="4">
        <v>3.25</v>
      </c>
    </row>
    <row r="42" ht="12" spans="1:3">
      <c r="A42" s="5" t="s">
        <v>55</v>
      </c>
      <c r="B42" s="5"/>
      <c r="C42" s="5">
        <v>32.5</v>
      </c>
    </row>
    <row r="44" ht="14.4" spans="1:3">
      <c r="A44" s="1" t="s">
        <v>191</v>
      </c>
      <c r="B44" s="13"/>
      <c r="C44" s="1">
        <v>615.8</v>
      </c>
    </row>
    <row r="45" ht="12" spans="1:3">
      <c r="A45" s="5" t="s">
        <v>56</v>
      </c>
      <c r="B45" s="5"/>
      <c r="C45" s="5">
        <v>615.8</v>
      </c>
    </row>
    <row r="47" ht="14.4" spans="1:3">
      <c r="A47" s="1" t="s">
        <v>57</v>
      </c>
      <c r="B47" s="13"/>
      <c r="C47" s="1">
        <v>48.3</v>
      </c>
    </row>
    <row r="48" ht="12" spans="1:3">
      <c r="A48" s="5" t="s">
        <v>57</v>
      </c>
      <c r="B48" s="5"/>
      <c r="C48" s="5">
        <v>48.3</v>
      </c>
    </row>
    <row r="50" ht="14.4" spans="1:3">
      <c r="A50" s="1" t="s">
        <v>192</v>
      </c>
      <c r="B50" s="13"/>
      <c r="C50" s="4">
        <v>132.325</v>
      </c>
    </row>
    <row r="51" ht="14.4" spans="1:3">
      <c r="A51" s="1" t="s">
        <v>193</v>
      </c>
      <c r="B51" s="13"/>
      <c r="C51" s="4">
        <v>18.425</v>
      </c>
    </row>
    <row r="52" ht="14.4" spans="1:3">
      <c r="A52" s="1" t="s">
        <v>194</v>
      </c>
      <c r="B52" s="13"/>
      <c r="C52" s="4">
        <v>16.75</v>
      </c>
    </row>
    <row r="53" ht="12" spans="1:3">
      <c r="A53" s="5" t="s">
        <v>58</v>
      </c>
      <c r="B53" s="5"/>
      <c r="C53" s="5">
        <v>167.5</v>
      </c>
    </row>
    <row r="55" ht="12.75" spans="1:3">
      <c r="A55" s="10" t="s">
        <v>195</v>
      </c>
      <c r="B55" s="10"/>
      <c r="C55" s="10">
        <v>932.1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workbookViewId="0">
      <selection activeCell="C1" sqref="C1"/>
    </sheetView>
  </sheetViews>
  <sheetFormatPr defaultColWidth="9" defaultRowHeight="11.4" outlineLevelCol="2"/>
  <cols>
    <col min="1" max="1" width="26.4259259259259" style="1" customWidth="1"/>
    <col min="2" max="2" width="9.13888888888889" style="1"/>
    <col min="3" max="3" width="9.22222222222222" style="1"/>
    <col min="4" max="16384" width="9.13888888888889" style="1"/>
  </cols>
  <sheetData>
    <row r="1" ht="12.75" spans="1:3">
      <c r="A1" s="2" t="s">
        <v>165</v>
      </c>
      <c r="B1" s="2" t="s">
        <v>196</v>
      </c>
      <c r="C1" s="3">
        <v>42369</v>
      </c>
    </row>
    <row r="2" spans="1:3">
      <c r="A2" s="1" t="s">
        <v>166</v>
      </c>
      <c r="B2" s="1" t="s">
        <v>197</v>
      </c>
      <c r="C2" s="4">
        <v>40.248</v>
      </c>
    </row>
    <row r="3" spans="1:3">
      <c r="A3" s="1" t="s">
        <v>168</v>
      </c>
      <c r="B3" s="1" t="s">
        <v>197</v>
      </c>
      <c r="C3" s="4">
        <v>34.056</v>
      </c>
    </row>
    <row r="4" spans="1:3">
      <c r="A4" s="1" t="s">
        <v>167</v>
      </c>
      <c r="B4" s="1" t="s">
        <v>197</v>
      </c>
      <c r="C4" s="4">
        <v>29.412</v>
      </c>
    </row>
    <row r="5" spans="1:3">
      <c r="A5" s="1" t="s">
        <v>169</v>
      </c>
      <c r="B5" s="1" t="s">
        <v>197</v>
      </c>
      <c r="C5" s="4">
        <v>27.864</v>
      </c>
    </row>
    <row r="6" spans="1:3">
      <c r="A6" s="1" t="s">
        <v>170</v>
      </c>
      <c r="B6" s="1" t="s">
        <v>197</v>
      </c>
      <c r="C6" s="4">
        <v>23.22</v>
      </c>
    </row>
    <row r="7" ht="12" spans="1:3">
      <c r="A7" s="5" t="s">
        <v>48</v>
      </c>
      <c r="B7" s="5"/>
      <c r="C7" s="6">
        <v>154.8</v>
      </c>
    </row>
    <row r="9" spans="1:3">
      <c r="A9" s="1" t="s">
        <v>171</v>
      </c>
      <c r="B9" s="1" t="s">
        <v>198</v>
      </c>
      <c r="C9" s="4">
        <v>24.84</v>
      </c>
    </row>
    <row r="10" spans="1:3">
      <c r="A10" s="1" t="s">
        <v>172</v>
      </c>
      <c r="B10" s="1" t="s">
        <v>198</v>
      </c>
      <c r="C10" s="4">
        <v>20.24</v>
      </c>
    </row>
    <row r="11" spans="1:3">
      <c r="A11" s="1" t="s">
        <v>173</v>
      </c>
      <c r="B11" s="1" t="s">
        <v>198</v>
      </c>
      <c r="C11" s="4">
        <v>17.48</v>
      </c>
    </row>
    <row r="12" spans="1:3">
      <c r="A12" s="1" t="s">
        <v>175</v>
      </c>
      <c r="B12" s="1" t="s">
        <v>198</v>
      </c>
      <c r="C12" s="4">
        <v>17.48</v>
      </c>
    </row>
    <row r="13" spans="1:3">
      <c r="A13" s="1" t="s">
        <v>174</v>
      </c>
      <c r="B13" s="1" t="s">
        <v>198</v>
      </c>
      <c r="C13" s="4">
        <v>11.96</v>
      </c>
    </row>
    <row r="14" ht="12" spans="1:3">
      <c r="A14" s="5" t="s">
        <v>49</v>
      </c>
      <c r="B14" s="5" t="s">
        <v>198</v>
      </c>
      <c r="C14" s="6">
        <v>92</v>
      </c>
    </row>
    <row r="16" spans="1:3">
      <c r="A16" s="1" t="s">
        <v>176</v>
      </c>
      <c r="B16" s="1" t="s">
        <v>199</v>
      </c>
      <c r="C16" s="4">
        <v>346.475</v>
      </c>
    </row>
    <row r="17" spans="1:3">
      <c r="A17" s="1" t="s">
        <v>177</v>
      </c>
      <c r="B17" s="1" t="s">
        <v>199</v>
      </c>
      <c r="C17" s="4">
        <v>139.525</v>
      </c>
    </row>
    <row r="18" spans="1:3">
      <c r="A18" s="1" t="s">
        <v>178</v>
      </c>
      <c r="B18" s="1" t="s">
        <v>199</v>
      </c>
      <c r="C18" s="4">
        <v>125.575</v>
      </c>
    </row>
    <row r="19" spans="1:3">
      <c r="A19" s="1" t="s">
        <v>179</v>
      </c>
      <c r="B19" s="1" t="s">
        <v>199</v>
      </c>
      <c r="C19" s="4">
        <v>20.925</v>
      </c>
    </row>
    <row r="20" ht="12" spans="1:3">
      <c r="A20" s="5" t="s">
        <v>50</v>
      </c>
      <c r="B20" s="5" t="s">
        <v>199</v>
      </c>
      <c r="C20" s="6">
        <v>632.5</v>
      </c>
    </row>
    <row r="22" spans="1:3">
      <c r="A22" s="1" t="s">
        <v>180</v>
      </c>
      <c r="B22" s="1" t="s">
        <v>200</v>
      </c>
      <c r="C22" s="7">
        <v>13.298</v>
      </c>
    </row>
    <row r="23" spans="1:3">
      <c r="A23" s="1" t="s">
        <v>181</v>
      </c>
      <c r="B23" s="1" t="s">
        <v>200</v>
      </c>
      <c r="C23" s="7">
        <v>5.45</v>
      </c>
    </row>
    <row r="24" spans="1:3">
      <c r="A24" s="1" t="s">
        <v>182</v>
      </c>
      <c r="B24" s="1" t="s">
        <v>200</v>
      </c>
      <c r="C24" s="7">
        <v>3.052</v>
      </c>
    </row>
    <row r="25" ht="12" spans="1:3">
      <c r="A25" s="5" t="s">
        <v>51</v>
      </c>
      <c r="B25" s="5"/>
      <c r="C25" s="5">
        <v>21.8</v>
      </c>
    </row>
    <row r="27" spans="1:3">
      <c r="A27" s="1" t="s">
        <v>52</v>
      </c>
      <c r="B27" s="1" t="s">
        <v>201</v>
      </c>
      <c r="C27" s="1">
        <v>46.9</v>
      </c>
    </row>
    <row r="28" ht="12" spans="1:3">
      <c r="A28" s="5" t="s">
        <v>52</v>
      </c>
      <c r="B28" s="5"/>
      <c r="C28" s="5">
        <v>46.9</v>
      </c>
    </row>
    <row r="29" ht="12" spans="1:3">
      <c r="A29" s="9"/>
      <c r="B29" s="9"/>
      <c r="C29" s="9"/>
    </row>
    <row r="30" ht="12.75" spans="1:3">
      <c r="A30" s="10" t="s">
        <v>53</v>
      </c>
      <c r="B30" s="10"/>
      <c r="C30" s="11">
        <v>948</v>
      </c>
    </row>
    <row r="32" spans="1:3">
      <c r="A32" s="1" t="s">
        <v>183</v>
      </c>
      <c r="B32" s="1" t="s">
        <v>202</v>
      </c>
      <c r="C32" s="4">
        <v>19.981</v>
      </c>
    </row>
    <row r="33" spans="1:3">
      <c r="A33" s="1" t="s">
        <v>187</v>
      </c>
      <c r="B33" s="1" t="s">
        <v>202</v>
      </c>
      <c r="C33" s="4">
        <v>15.847</v>
      </c>
    </row>
    <row r="34" spans="1:3">
      <c r="A34" s="1" t="s">
        <v>184</v>
      </c>
      <c r="B34" s="1" t="s">
        <v>202</v>
      </c>
      <c r="C34" s="4">
        <v>14.469</v>
      </c>
    </row>
    <row r="35" spans="1:3">
      <c r="A35" s="1" t="s">
        <v>186</v>
      </c>
      <c r="B35" s="1" t="s">
        <v>202</v>
      </c>
      <c r="C35" s="4">
        <v>10.335</v>
      </c>
    </row>
    <row r="36" spans="1:3">
      <c r="A36" s="1" t="s">
        <v>185</v>
      </c>
      <c r="B36" s="1" t="s">
        <v>202</v>
      </c>
      <c r="C36" s="4">
        <v>8.268</v>
      </c>
    </row>
    <row r="37" ht="12" spans="1:3">
      <c r="A37" s="5" t="s">
        <v>54</v>
      </c>
      <c r="B37" s="5"/>
      <c r="C37" s="6">
        <v>68.9</v>
      </c>
    </row>
    <row r="39" spans="1:3">
      <c r="A39" s="1" t="s">
        <v>188</v>
      </c>
      <c r="B39" s="1" t="s">
        <v>199</v>
      </c>
      <c r="C39" s="4">
        <v>17.507</v>
      </c>
    </row>
    <row r="40" spans="1:3">
      <c r="A40" s="1" t="s">
        <v>189</v>
      </c>
      <c r="B40" s="1" t="s">
        <v>199</v>
      </c>
      <c r="C40" s="4">
        <v>6.601</v>
      </c>
    </row>
    <row r="41" spans="1:3">
      <c r="A41" s="1" t="s">
        <v>190</v>
      </c>
      <c r="B41" s="1" t="s">
        <v>199</v>
      </c>
      <c r="C41" s="4">
        <v>4.592</v>
      </c>
    </row>
    <row r="42" ht="12" spans="1:3">
      <c r="A42" s="5" t="s">
        <v>55</v>
      </c>
      <c r="B42" s="5"/>
      <c r="C42" s="5">
        <v>28.7</v>
      </c>
    </row>
    <row r="44" spans="1:3">
      <c r="A44" s="1" t="s">
        <v>191</v>
      </c>
      <c r="B44" s="1" t="s">
        <v>203</v>
      </c>
      <c r="C44" s="1">
        <v>610.4</v>
      </c>
    </row>
    <row r="45" ht="12" spans="1:3">
      <c r="A45" s="5" t="s">
        <v>56</v>
      </c>
      <c r="B45" s="5"/>
      <c r="C45" s="5">
        <v>610.4</v>
      </c>
    </row>
    <row r="47" spans="1:3">
      <c r="A47" s="1" t="s">
        <v>57</v>
      </c>
      <c r="B47" s="1" t="s">
        <v>201</v>
      </c>
      <c r="C47" s="1">
        <v>43.3</v>
      </c>
    </row>
    <row r="48" ht="12" spans="1:3">
      <c r="A48" s="5" t="s">
        <v>57</v>
      </c>
      <c r="B48" s="5"/>
      <c r="C48" s="5">
        <v>43.3</v>
      </c>
    </row>
    <row r="50" spans="1:3">
      <c r="A50" s="1" t="s">
        <v>192</v>
      </c>
      <c r="B50" s="1" t="s">
        <v>204</v>
      </c>
      <c r="C50" s="4">
        <v>161.525</v>
      </c>
    </row>
    <row r="51" spans="1:3">
      <c r="A51" s="1" t="s">
        <v>193</v>
      </c>
      <c r="B51" s="1" t="s">
        <v>204</v>
      </c>
      <c r="C51" s="4">
        <v>18.425</v>
      </c>
    </row>
    <row r="52" spans="1:3">
      <c r="A52" s="1" t="s">
        <v>194</v>
      </c>
      <c r="B52" s="1" t="s">
        <v>204</v>
      </c>
      <c r="C52" s="4">
        <v>16.75</v>
      </c>
    </row>
    <row r="53" ht="12" spans="1:3">
      <c r="A53" s="5" t="s">
        <v>58</v>
      </c>
      <c r="B53" s="5"/>
      <c r="C53" s="5">
        <v>196.7</v>
      </c>
    </row>
    <row r="55" ht="12.75" spans="1:3">
      <c r="A55" s="10" t="s">
        <v>195</v>
      </c>
      <c r="B55" s="10"/>
      <c r="C55" s="11">
        <v>948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F14" sqref="F14"/>
    </sheetView>
  </sheetViews>
  <sheetFormatPr defaultColWidth="9" defaultRowHeight="11.4" outlineLevelCol="3"/>
  <cols>
    <col min="1" max="1" width="26.4259259259259" style="1" customWidth="1"/>
    <col min="2" max="3" width="9.13888888888889" style="1"/>
    <col min="4" max="4" width="9.22222222222222" style="1"/>
    <col min="5" max="16384" width="9.13888888888889" style="1"/>
  </cols>
  <sheetData>
    <row r="1" ht="12.75" spans="1:4">
      <c r="A1" s="2" t="s">
        <v>165</v>
      </c>
      <c r="B1" s="3" t="s">
        <v>196</v>
      </c>
      <c r="C1" s="3" t="s">
        <v>205</v>
      </c>
      <c r="D1" s="3">
        <v>42735</v>
      </c>
    </row>
    <row r="2" spans="1:4">
      <c r="A2" s="1" t="s">
        <v>166</v>
      </c>
      <c r="B2" s="1" t="s">
        <v>197</v>
      </c>
      <c r="C2" s="1" t="s">
        <v>206</v>
      </c>
      <c r="D2" s="4">
        <v>44.018</v>
      </c>
    </row>
    <row r="3" spans="1:4">
      <c r="A3" s="1" t="s">
        <v>168</v>
      </c>
      <c r="B3" s="1" t="s">
        <v>197</v>
      </c>
      <c r="C3" s="1" t="s">
        <v>206</v>
      </c>
      <c r="D3" s="4">
        <v>40.632</v>
      </c>
    </row>
    <row r="4" spans="1:4">
      <c r="A4" s="1" t="s">
        <v>167</v>
      </c>
      <c r="B4" s="1" t="s">
        <v>197</v>
      </c>
      <c r="C4" s="1" t="s">
        <v>206</v>
      </c>
      <c r="D4" s="4">
        <v>32.167</v>
      </c>
    </row>
    <row r="5" spans="1:4">
      <c r="A5" s="1" t="s">
        <v>169</v>
      </c>
      <c r="B5" s="1" t="s">
        <v>197</v>
      </c>
      <c r="C5" s="1" t="s">
        <v>206</v>
      </c>
      <c r="D5" s="4">
        <v>27.088</v>
      </c>
    </row>
    <row r="6" spans="1:4">
      <c r="A6" s="1" t="s">
        <v>170</v>
      </c>
      <c r="B6" s="1" t="s">
        <v>197</v>
      </c>
      <c r="C6" s="1" t="s">
        <v>206</v>
      </c>
      <c r="D6" s="4">
        <v>25.395</v>
      </c>
    </row>
    <row r="7" ht="12" spans="1:4">
      <c r="A7" s="5" t="s">
        <v>48</v>
      </c>
      <c r="B7" s="5"/>
      <c r="C7" s="5"/>
      <c r="D7" s="6">
        <v>169.3</v>
      </c>
    </row>
    <row r="9" spans="1:4">
      <c r="A9" s="1" t="s">
        <v>171</v>
      </c>
      <c r="B9" s="1" t="s">
        <v>198</v>
      </c>
      <c r="C9" s="1" t="s">
        <v>206</v>
      </c>
      <c r="D9" s="4">
        <v>26.4</v>
      </c>
    </row>
    <row r="10" spans="1:4">
      <c r="A10" s="1" t="s">
        <v>172</v>
      </c>
      <c r="B10" s="1" t="s">
        <v>198</v>
      </c>
      <c r="C10" s="1" t="s">
        <v>206</v>
      </c>
      <c r="D10" s="4">
        <v>25.3</v>
      </c>
    </row>
    <row r="11" spans="1:4">
      <c r="A11" s="1" t="s">
        <v>173</v>
      </c>
      <c r="B11" s="1" t="s">
        <v>198</v>
      </c>
      <c r="C11" s="1" t="s">
        <v>206</v>
      </c>
      <c r="D11" s="4">
        <v>20.9</v>
      </c>
    </row>
    <row r="12" spans="1:4">
      <c r="A12" s="1" t="s">
        <v>175</v>
      </c>
      <c r="B12" s="1" t="s">
        <v>198</v>
      </c>
      <c r="C12" s="1" t="s">
        <v>206</v>
      </c>
      <c r="D12" s="4">
        <v>20.9</v>
      </c>
    </row>
    <row r="13" spans="1:4">
      <c r="A13" s="1" t="s">
        <v>174</v>
      </c>
      <c r="B13" s="1" t="s">
        <v>198</v>
      </c>
      <c r="C13" s="1" t="s">
        <v>206</v>
      </c>
      <c r="D13" s="4">
        <v>16.5</v>
      </c>
    </row>
    <row r="14" ht="12" spans="1:4">
      <c r="A14" s="5" t="s">
        <v>49</v>
      </c>
      <c r="B14" s="5" t="s">
        <v>198</v>
      </c>
      <c r="C14" s="5"/>
      <c r="D14" s="6">
        <v>110</v>
      </c>
    </row>
    <row r="16" spans="1:4">
      <c r="A16" s="1" t="s">
        <v>176</v>
      </c>
      <c r="B16" s="1" t="s">
        <v>199</v>
      </c>
      <c r="C16" s="1" t="s">
        <v>206</v>
      </c>
      <c r="D16" s="4">
        <v>350.51</v>
      </c>
    </row>
    <row r="17" spans="1:4">
      <c r="A17" s="1" t="s">
        <v>177</v>
      </c>
      <c r="B17" s="1" t="s">
        <v>199</v>
      </c>
      <c r="C17" s="1" t="s">
        <v>206</v>
      </c>
      <c r="D17" s="4">
        <v>146.71</v>
      </c>
    </row>
    <row r="18" spans="1:4">
      <c r="A18" s="1" t="s">
        <v>178</v>
      </c>
      <c r="B18" s="1" t="s">
        <v>199</v>
      </c>
      <c r="C18" s="1" t="s">
        <v>206</v>
      </c>
      <c r="D18" s="4">
        <v>133.735</v>
      </c>
    </row>
    <row r="19" spans="1:4">
      <c r="A19" s="1" t="s">
        <v>179</v>
      </c>
      <c r="B19" s="1" t="s">
        <v>199</v>
      </c>
      <c r="C19" s="1" t="s">
        <v>206</v>
      </c>
      <c r="D19" s="4">
        <v>28.545</v>
      </c>
    </row>
    <row r="20" ht="12" spans="1:4">
      <c r="A20" s="5" t="s">
        <v>50</v>
      </c>
      <c r="B20" s="5"/>
      <c r="C20" s="5"/>
      <c r="D20" s="6">
        <v>659.5</v>
      </c>
    </row>
    <row r="22" spans="1:4">
      <c r="A22" s="1" t="s">
        <v>180</v>
      </c>
      <c r="B22" s="1" t="s">
        <v>200</v>
      </c>
      <c r="C22" s="1" t="s">
        <v>206</v>
      </c>
      <c r="D22" s="7">
        <v>125.4</v>
      </c>
    </row>
    <row r="23" spans="1:4">
      <c r="A23" s="1" t="s">
        <v>181</v>
      </c>
      <c r="B23" s="1" t="s">
        <v>200</v>
      </c>
      <c r="C23" s="1" t="s">
        <v>206</v>
      </c>
      <c r="D23" s="7">
        <v>59.4</v>
      </c>
    </row>
    <row r="24" spans="1:4">
      <c r="A24" s="1" t="s">
        <v>182</v>
      </c>
      <c r="B24" s="1" t="s">
        <v>200</v>
      </c>
      <c r="C24" s="1" t="s">
        <v>206</v>
      </c>
      <c r="D24" s="7">
        <v>35.2</v>
      </c>
    </row>
    <row r="25" ht="12" spans="1:4">
      <c r="A25" s="5" t="s">
        <v>51</v>
      </c>
      <c r="B25" s="5"/>
      <c r="C25" s="5"/>
      <c r="D25" s="8">
        <v>220</v>
      </c>
    </row>
    <row r="27" spans="1:4">
      <c r="A27" s="1" t="s">
        <v>52</v>
      </c>
      <c r="B27" s="1" t="s">
        <v>201</v>
      </c>
      <c r="C27" s="1" t="s">
        <v>206</v>
      </c>
      <c r="D27" s="7">
        <v>68</v>
      </c>
    </row>
    <row r="28" ht="12" spans="1:4">
      <c r="A28" s="5" t="s">
        <v>52</v>
      </c>
      <c r="B28" s="5"/>
      <c r="C28" s="5"/>
      <c r="D28" s="8">
        <v>68</v>
      </c>
    </row>
    <row r="29" ht="12" spans="1:4">
      <c r="A29" s="9"/>
      <c r="B29" s="9"/>
      <c r="C29" s="9"/>
      <c r="D29" s="9"/>
    </row>
    <row r="30" ht="12.75" spans="1:4">
      <c r="A30" s="10" t="s">
        <v>53</v>
      </c>
      <c r="B30" s="10"/>
      <c r="C30" s="10"/>
      <c r="D30" s="11">
        <v>1226.8</v>
      </c>
    </row>
    <row r="32" spans="1:4">
      <c r="A32" s="1" t="s">
        <v>183</v>
      </c>
      <c r="B32" s="1" t="s">
        <v>202</v>
      </c>
      <c r="C32" s="1" t="s">
        <v>207</v>
      </c>
      <c r="D32" s="4">
        <v>19.981</v>
      </c>
    </row>
    <row r="33" spans="1:4">
      <c r="A33" s="1" t="s">
        <v>187</v>
      </c>
      <c r="B33" s="1" t="s">
        <v>202</v>
      </c>
      <c r="C33" s="1" t="s">
        <v>207</v>
      </c>
      <c r="D33" s="4">
        <v>15.847</v>
      </c>
    </row>
    <row r="34" spans="1:4">
      <c r="A34" s="1" t="s">
        <v>184</v>
      </c>
      <c r="B34" s="1" t="s">
        <v>202</v>
      </c>
      <c r="C34" s="1" t="s">
        <v>207</v>
      </c>
      <c r="D34" s="4">
        <v>14.469</v>
      </c>
    </row>
    <row r="35" spans="1:4">
      <c r="A35" s="1" t="s">
        <v>186</v>
      </c>
      <c r="B35" s="1" t="s">
        <v>202</v>
      </c>
      <c r="C35" s="1" t="s">
        <v>207</v>
      </c>
      <c r="D35" s="4">
        <v>10.335</v>
      </c>
    </row>
    <row r="36" spans="1:4">
      <c r="A36" s="1" t="s">
        <v>185</v>
      </c>
      <c r="B36" s="1" t="s">
        <v>202</v>
      </c>
      <c r="C36" s="1" t="s">
        <v>207</v>
      </c>
      <c r="D36" s="4">
        <v>8.268</v>
      </c>
    </row>
    <row r="37" ht="12" spans="1:4">
      <c r="A37" s="5" t="s">
        <v>54</v>
      </c>
      <c r="B37" s="5"/>
      <c r="C37" s="5"/>
      <c r="D37" s="6">
        <v>68.9</v>
      </c>
    </row>
    <row r="39" spans="1:4">
      <c r="A39" s="1" t="s">
        <v>188</v>
      </c>
      <c r="B39" s="1" t="s">
        <v>199</v>
      </c>
      <c r="C39" s="1" t="s">
        <v>207</v>
      </c>
      <c r="D39" s="4">
        <v>17.507</v>
      </c>
    </row>
    <row r="40" spans="1:4">
      <c r="A40" s="1" t="s">
        <v>189</v>
      </c>
      <c r="B40" s="1" t="s">
        <v>199</v>
      </c>
      <c r="C40" s="1" t="s">
        <v>207</v>
      </c>
      <c r="D40" s="4">
        <v>6.601</v>
      </c>
    </row>
    <row r="41" spans="1:4">
      <c r="A41" s="1" t="s">
        <v>190</v>
      </c>
      <c r="B41" s="1" t="s">
        <v>199</v>
      </c>
      <c r="C41" s="1" t="s">
        <v>207</v>
      </c>
      <c r="D41" s="4">
        <v>4.592</v>
      </c>
    </row>
    <row r="42" ht="12" spans="1:4">
      <c r="A42" s="5" t="s">
        <v>55</v>
      </c>
      <c r="B42" s="5"/>
      <c r="C42" s="5"/>
      <c r="D42" s="5">
        <v>28.7</v>
      </c>
    </row>
    <row r="44" spans="1:4">
      <c r="A44" s="1" t="s">
        <v>191</v>
      </c>
      <c r="B44" s="1" t="s">
        <v>203</v>
      </c>
      <c r="C44" s="1" t="s">
        <v>207</v>
      </c>
      <c r="D44" s="7">
        <v>605</v>
      </c>
    </row>
    <row r="45" ht="12" spans="1:4">
      <c r="A45" s="5" t="s">
        <v>56</v>
      </c>
      <c r="B45" s="5"/>
      <c r="C45" s="5"/>
      <c r="D45" s="8">
        <v>605</v>
      </c>
    </row>
    <row r="47" spans="1:4">
      <c r="A47" s="1" t="s">
        <v>57</v>
      </c>
      <c r="B47" s="1" t="s">
        <v>201</v>
      </c>
      <c r="C47" s="1" t="s">
        <v>207</v>
      </c>
      <c r="D47" s="1">
        <v>38.9</v>
      </c>
    </row>
    <row r="48" ht="12" spans="1:4">
      <c r="A48" s="5" t="s">
        <v>57</v>
      </c>
      <c r="B48" s="5"/>
      <c r="C48" s="5"/>
      <c r="D48" s="5">
        <v>38.9</v>
      </c>
    </row>
    <row r="50" spans="1:4">
      <c r="A50" s="1" t="s">
        <v>192</v>
      </c>
      <c r="B50" s="1" t="s">
        <v>204</v>
      </c>
      <c r="C50" s="1" t="s">
        <v>204</v>
      </c>
      <c r="D50" s="4">
        <v>450.125</v>
      </c>
    </row>
    <row r="51" spans="1:4">
      <c r="A51" s="1" t="s">
        <v>193</v>
      </c>
      <c r="B51" s="1" t="s">
        <v>204</v>
      </c>
      <c r="C51" s="1" t="s">
        <v>204</v>
      </c>
      <c r="D51" s="4">
        <v>18.425</v>
      </c>
    </row>
    <row r="52" spans="1:4">
      <c r="A52" s="1" t="s">
        <v>194</v>
      </c>
      <c r="B52" s="1" t="s">
        <v>204</v>
      </c>
      <c r="C52" s="1" t="s">
        <v>204</v>
      </c>
      <c r="D52" s="4">
        <v>16.75</v>
      </c>
    </row>
    <row r="53" ht="12" spans="1:4">
      <c r="A53" s="5" t="s">
        <v>58</v>
      </c>
      <c r="B53" s="5"/>
      <c r="C53" s="5"/>
      <c r="D53" s="5">
        <v>485.3</v>
      </c>
    </row>
    <row r="55" ht="12.75" spans="1:4">
      <c r="A55" s="10" t="s">
        <v>195</v>
      </c>
      <c r="B55" s="10"/>
      <c r="C55" s="10"/>
      <c r="D55" s="11">
        <v>1226.8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H17" sqref="H17"/>
    </sheetView>
  </sheetViews>
  <sheetFormatPr defaultColWidth="8.88888888888889" defaultRowHeight="14.4" outlineLevelRow="6" outlineLevelCol="1"/>
  <sheetData>
    <row r="3" spans="1:2">
      <c r="A3" t="s">
        <v>22</v>
      </c>
      <c r="B3" t="s">
        <v>208</v>
      </c>
    </row>
    <row r="4" spans="1:2">
      <c r="A4" t="s">
        <v>23</v>
      </c>
      <c r="B4" t="s">
        <v>209</v>
      </c>
    </row>
    <row r="5" spans="1:2">
      <c r="A5" t="s">
        <v>24</v>
      </c>
      <c r="B5" t="s">
        <v>210</v>
      </c>
    </row>
    <row r="6" spans="1:1">
      <c r="A6" t="s">
        <v>25</v>
      </c>
    </row>
    <row r="7" spans="1:1">
      <c r="A7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Dashboard</vt:lpstr>
      <vt:lpstr>Financial Analysis</vt:lpstr>
      <vt:lpstr>P&amp;L</vt:lpstr>
      <vt:lpstr>BS</vt:lpstr>
      <vt:lpstr>Cash Flow Statement</vt:lpstr>
      <vt:lpstr>PP&amp;E</vt:lpstr>
      <vt:lpstr>Financial Liabilities</vt:lpstr>
      <vt:lpstr>Equity</vt:lpstr>
      <vt:lpstr>Cash</vt:lpstr>
      <vt:lpstr>Workings</vt:lpstr>
      <vt:lpstr>Original Source</vt:lpstr>
      <vt:lpstr>BS 2014</vt:lpstr>
      <vt:lpstr>BS 2015</vt:lpstr>
      <vt:lpstr>BS 2016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Bhumi Saini</cp:lastModifiedBy>
  <dcterms:created xsi:type="dcterms:W3CDTF">2016-02-10T00:20:00Z</dcterms:created>
  <dcterms:modified xsi:type="dcterms:W3CDTF">2026-09-07T17:07:55Z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D42B7774E7174122AF97229613197086_13</vt:lpwstr>
  </property>
  <property fmtid="{D5CDD505-2E9C-101B-9397-08002B2CF9AE}" pid="3" name="KSOProductBuildVer">
    <vt:lpwstr>2057-12.2.0.23206</vt:lpwstr>
  </property>
</Properties>
</file>